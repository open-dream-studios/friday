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Labor_Detail" sheetId="2" r:id="rId6"/>
    <sheet state="visible" name="Material_Detail" sheetId="3" r:id="rId7"/>
    <sheet state="visible" name="Equipment_Detail" sheetId="4" r:id="rId8"/>
    <sheet state="visible" name="PM_Notes" sheetId="5" r:id="rId9"/>
    <sheet state="visible" name="Assumptions" sheetId="6" r:id="rId10"/>
    <sheet state="visible" name="Labor_Rates" sheetId="7" r:id="rId11"/>
    <sheet state="visible" name="Template_Guide" sheetId="8" r:id="rId12"/>
    <sheet state="visible" name="Data_Lists" sheetId="9" r:id="rId13"/>
    <sheet state="visible" name="Section_Master" sheetId="10" r:id="rId14"/>
    <sheet state="visible" name="TakeOff_Standard" sheetId="11" r:id="rId15"/>
  </sheets>
  <definedNames/>
  <calcPr/>
</workbook>
</file>

<file path=xl/sharedStrings.xml><?xml version="1.0" encoding="utf-8"?>
<sst xmlns="http://schemas.openxmlformats.org/spreadsheetml/2006/main" count="1003" uniqueCount="492">
  <si>
    <t>Section</t>
  </si>
  <si>
    <t>205 Pawnee Street — Outdoor Entertainment Area (Patio + Shed Roof + Screened Enclosure + Wood-Burning Fireplace)</t>
  </si>
  <si>
    <t>Equipment or Misc Item</t>
  </si>
  <si>
    <t>Quantity</t>
  </si>
  <si>
    <t>Unit</t>
  </si>
  <si>
    <t>Unit Cost</t>
  </si>
  <si>
    <t>Line Total</t>
  </si>
  <si>
    <t>Notes</t>
  </si>
  <si>
    <t>Project Totals</t>
  </si>
  <si>
    <t>Trade Role</t>
  </si>
  <si>
    <t>Material</t>
  </si>
  <si>
    <t>Hours</t>
  </si>
  <si>
    <t>Description</t>
  </si>
  <si>
    <t>Rate</t>
  </si>
  <si>
    <t>Labor Cost</t>
  </si>
  <si>
    <t>Waste Factor</t>
  </si>
  <si>
    <t>Notes / Pricing Source</t>
  </si>
  <si>
    <t>Rate Category</t>
  </si>
  <si>
    <t>GC + PM Coordination (No Permits - Flag)</t>
  </si>
  <si>
    <t>Protection + consumables</t>
  </si>
  <si>
    <t>Staging + protection. NO permit allowance (scope excludes - FLAG).</t>
  </si>
  <si>
    <t>Demolition (Pavers 294 SF + Fire Pit + 3x3 Cut)</t>
  </si>
  <si>
    <t>Project Manager</t>
  </si>
  <si>
    <t>12-yd dumpster + 1 haul-off</t>
  </si>
  <si>
    <t>lot</t>
  </si>
  <si>
    <t>Project</t>
  </si>
  <si>
    <t>Outdoor entertainment area over existing paver/fire-pit area. Built on v3 TAKE-OFF STANDARD; 2026 national-avg retail (confirm local). Rate Set A cost/burden - FIXED scope vs stated TOTAL INVESTMENT $57,745. DEMO: pavers ~12.5x23.5 + existing fire pit + cut/remove ~3x3 concrete at fire-pit area (1 12-yd dumpster + up to 1 haul-off given). CONCRETE: excavate + ~4 yd gravel + forms + std reinforcement + 4" broom patio ~294 SF + 3x3 infill at removed fire pit + control joints + edge hand-grading. ROOF: shed-style over ~294 SF + TIE INTO EXISTING ROOF (ledger and/or beam connections at home + roof-to-wall/roof-to-roof flashing) + rafters per span/load + vertical posts to approved bearing + blocking/bracing/connectors + sheathing + synthetic underlayment + ASPHALT SHINGLES matched most-similar to existing + metal flashing at intersections/valleys/penetrations + pitch/drainage away. SCREENED ENCLOSURE: ~2' KNEE WALLS along perimeter + WHITE VINYL finish at knee walls + screen framing between posts + screening tensioned + trim + 1 screen door opening + door w/ hardware ($125). WOOD-BURNING OUTDOOR FIREPLACE (~72" wide): final height/depth/config/firebox/chimney/finish coordinated per selected design - scope allows approved MASONRY, FRAMED, or MANUFACTURED system - CARRIED ON MANUFACTURED WB OUTDOOR SYSTEM BASIS (scope: fireplace pricing + scope DEPENDENT on final selected system - re-price at selection). Includes: footing/structural support per design + fire-rated materials + firebox + smoke chamber + flue liner + CHIMNEY to required termination height above roofline (10-3-2) + spark arrestor + cap + flashing/weatherproofing at ROOF PENETRATION + fire-rated substrate + customer-selected VENEER ($5/SF, ~150 SF) + HEARTH ($5/SF, ~24 SF, floor-height or raised lip per code) + MANTEL ($1,000, non-combustible or wood if clearances achieved). ELECTRICAL: electric-fireplace circuit/fixture REMOVED per scope; remaining language = install work "AS SPECIFICALLY LISTED" - NOTHING IS LISTED (no fan/lights/outlets anywhere in scope) - minimal coordination carry only + CRITICAL FLAG: screened porch w/ zero electrical = near-certain expectation gap - resolve before contract. PERMITS $0 - scope excludes unless listed (FLAG: roof tie-in + fireplace/chimney + solid-fuel appliance typically require permits/inspection; fireplace details subject to inspection-authority approval per scope). ASSUMES: existing roof/wall framing + bearing suitable; standard soil. EXCLUDED: engineering/drawings/specialty fireplace design/specialty permitting, gas/propane/appliance connections, decorative concrete, rock/buried-beyond/groundwater/utilities/fill/retaining, drainage/landscaping/sod/irrigation/yard restoration, concealed conditions (CO). Cost basis; compare to $57,745.</t>
  </si>
  <si>
    <t>Material Cost</t>
  </si>
  <si>
    <t>Source Scope</t>
  </si>
  <si>
    <t>205_Pawnee_Street_-_Proposal.txt</t>
  </si>
  <si>
    <t>Equipment Cost</t>
  </si>
  <si>
    <t>Template Anchor</t>
  </si>
  <si>
    <t>Basement_Remodel_Breakdown_Locked_Template_v2.xlsx</t>
  </si>
  <si>
    <t>Grand Total</t>
  </si>
  <si>
    <t>Per scope: 1 dumpster + up to 1 haul-off. Pavers + fire pit = heavy.</t>
  </si>
  <si>
    <t>2026 natl-avg retail; confirm local.</t>
  </si>
  <si>
    <t>Concrete Patio (294 SF + 3x3 Infill, 4" Broom)</t>
  </si>
  <si>
    <t>Mini-excavator/skid rental</t>
  </si>
  <si>
    <t>Overall Footprint SF</t>
  </si>
  <si>
    <t>day</t>
  </si>
  <si>
    <t>Demo consumables</t>
  </si>
  <si>
    <t>Saw blades + breaker bits + bags (pavers + fire pit + 3x3 cut)</t>
  </si>
  <si>
    <t>Ceiling Height</t>
  </si>
  <si>
    <t>Excavation + gravel.</t>
  </si>
  <si>
    <t>Note</t>
  </si>
  <si>
    <t>Use this workbook as a locked template. Populate detail rows only; preserve formulas, tabs, and section order.</t>
  </si>
  <si>
    <t>Portable toilet rental</t>
  </si>
  <si>
    <t>Sold for:</t>
  </si>
  <si>
    <t>Gravel base (4 yd)</t>
  </si>
  <si>
    <t>Per scope</t>
  </si>
  <si>
    <t>month</t>
  </si>
  <si>
    <t>yd</t>
  </si>
  <si>
    <t>~5-6 wk build.</t>
  </si>
  <si>
    <t>Not Applicable</t>
  </si>
  <si>
    <t>Forms + stakes</t>
  </si>
  <si>
    <t>Form lumber + stakes (294 SF + infill)</t>
  </si>
  <si>
    <t>Section Total</t>
  </si>
  <si>
    <t>Labor Hours</t>
  </si>
  <si>
    <t>COG's</t>
  </si>
  <si>
    <t>PM ~5-6 wk: fireplace design/selection coordination (system + veneer + hearth + mantel + clearances + inspection-authority approval per scope) + shingle match + selections + scheduling. NO permits carried (flag).</t>
  </si>
  <si>
    <t>Reinforcement</t>
  </si>
  <si>
    <t>Wire mesh/rebar standard + fireplace footing rebar</t>
  </si>
  <si>
    <t>Ready-mix concrete (4.2 yd)</t>
  </si>
  <si>
    <t>294 SF + 9 SF infill @ 4" + fireplace footing thickening</t>
  </si>
  <si>
    <t>Team Lead</t>
  </si>
  <si>
    <t>Concrete delivery fee</t>
  </si>
  <si>
    <t>Truck delivery</t>
  </si>
  <si>
    <t>Roof Structure (12.5x23.5 Shed + Tie-In + Posts)</t>
  </si>
  <si>
    <t>TL field lead: demo/concrete/roof/screen/fireplace phases.</t>
  </si>
  <si>
    <t>Structural ledger + beams</t>
  </si>
  <si>
    <t>Ledger/beam connections at home + carrying beams</t>
  </si>
  <si>
    <t>General Labor</t>
  </si>
  <si>
    <t>6x6 PT posts (~5)</t>
  </si>
  <si>
    <t>Vertical supports to bearing</t>
  </si>
  <si>
    <t>ea</t>
  </si>
  <si>
    <t>2x8 rafters (~19)</t>
  </si>
  <si>
    <t>Per span/load, 12.5' + overhang</t>
  </si>
  <si>
    <t>Staging + debris areas + access protection.</t>
  </si>
  <si>
    <t>Blocking + bracing + connectors</t>
  </si>
  <si>
    <t>Blocking + bracing + hurricane ties + hardware + exterior fasteners</t>
  </si>
  <si>
    <t>Roof sheathing (~10 sheets)</t>
  </si>
  <si>
    <t>7/16 OSB</t>
  </si>
  <si>
    <t>sheet</t>
  </si>
  <si>
    <t>Demo pavers ~294 SF + existing fire pit + saw-cut/remove 3x3 concrete + load dumpster + dispose.</t>
  </si>
  <si>
    <t>Shingle Roofing + Flashing (Match Existing)</t>
  </si>
  <si>
    <t>Synthetic underlayment</t>
  </si>
  <si>
    <t>~3.3 sq</t>
  </si>
  <si>
    <t>Asphalt shingles (~3.3 sq)</t>
  </si>
  <si>
    <t>Matched most-similar to existing</t>
  </si>
  <si>
    <t>sq</t>
  </si>
  <si>
    <t>Metal flashing package</t>
  </si>
  <si>
    <t>Roof-to-wall + roof-to-roof + step/counter + drip + valley</t>
  </si>
  <si>
    <t>Projected GP</t>
  </si>
  <si>
    <t>Screened Enclosure (2' Knee Walls + Door $125)</t>
  </si>
  <si>
    <t>Knee wall framing (~2' perimeter)</t>
  </si>
  <si>
    <t>2x4 framing ~60 LF perimeter</t>
  </si>
  <si>
    <t>Patio layout + fireplace footing coordination (pour together).</t>
  </si>
  <si>
    <t>White vinyl knee-wall finish</t>
  </si>
  <si>
    <t>Vinyl finish material + trim at knee walls</t>
  </si>
  <si>
    <t>Screen framing + screening</t>
  </si>
  <si>
    <t>Frame system between posts + exterior screening + spline</t>
  </si>
  <si>
    <t>Screen trim + finish components</t>
  </si>
  <si>
    <t>Trim boards + finish at screened sections</t>
  </si>
  <si>
    <t>Screen door + hardware</t>
  </si>
  <si>
    <t>@ $125 allowance</t>
  </si>
  <si>
    <t>GP %</t>
  </si>
  <si>
    <t>ALLOWANCE per scope: up to $125.</t>
  </si>
  <si>
    <t>WB Fireplace Structure (Firebox + Flue + Chimney)</t>
  </si>
  <si>
    <t>Manufactured WB outdoor fireplace system</t>
  </si>
  <si>
    <t>Firebox + smoke chamber + flue liner + chimney sections (manufactured-system basis)</t>
  </si>
  <si>
    <t>Excavate + 4 yd gravel + forms + reinforcement + pour/finish 4" broom ~294 SF + 3x3 infill + control joints + edge hand-grading. Coordinate fireplace footing/thickened area in pour.</t>
  </si>
  <si>
    <t>2026 natl-avg retail; confirm local. Scope: pricing DEPENDENT on selected system - re-price at selection (masonry option = higher).</t>
  </si>
  <si>
    <t>Fireplace structure (frame/CMU)</t>
  </si>
  <si>
    <t>Structure around firebox + chimney chase (~72" wide)</t>
  </si>
  <si>
    <t>Fire-rated substrate</t>
  </si>
  <si>
    <t>Fire-rated cement board/masonry backer per system</t>
  </si>
  <si>
    <t>Spark arrestor + chimney cap</t>
  </si>
  <si>
    <t>Cap + arrestor + termination components</t>
  </si>
  <si>
    <t>Chimney roof flashing + weatherproofing</t>
  </si>
  <si>
    <t>Penetration flashing + storm collar + sealants</t>
  </si>
  <si>
    <t>Roof tie-in lead: ledger/beam connections + bearing points + pitch/drainage.</t>
  </si>
  <si>
    <t>Fireplace Finish (Veneer/Hearth $5/SF + Mantel $1,000)</t>
  </si>
  <si>
    <t>Stone/tile veneer (~150 SF)</t>
  </si>
  <si>
    <t>@ $5/SF allowance (customer-selected)</t>
  </si>
  <si>
    <t>sf</t>
  </si>
  <si>
    <t>ALLOWANCE per scope: $5/SF.</t>
  </si>
  <si>
    <t>Hearth material (~24 SF)</t>
  </si>
  <si>
    <t>@ $5/SF allowance (fire-rated install)</t>
  </si>
  <si>
    <t>Mantel + hardware</t>
  </si>
  <si>
    <t>@ $1,000 allowance (non-combustible or wood if clearances achieved)</t>
  </si>
  <si>
    <t>ALLOWANCE per scope: up to $1,000.</t>
  </si>
  <si>
    <t>Shed roof ~294 SF: structural ledger/beam at home + vertical posts to approved bearing + rafters per span/load + blocking/bracing/connectors + sheathing + roof-to-wall/roof-to-roof flashing prep + chimney-penetration framing.</t>
  </si>
  <si>
    <t>Mortar + lath + setting materials</t>
  </si>
  <si>
    <t>Scratch/lath + veneer mortar + hearth setting + sealer</t>
  </si>
  <si>
    <t>Electrical (As Specifically Listed - NONE Listed - Flag)</t>
  </si>
  <si>
    <t>Electrical materials (as listed)</t>
  </si>
  <si>
    <t>Minimal - NO fixtures/devices listed in scope (electric fireplace REMOVED)</t>
  </si>
  <si>
    <t>FLAG: no fan/lights/outlets listed anywhere - resolve expectation before contract.</t>
  </si>
  <si>
    <t>Final Install + Cleanup (1 Dumpster + Haul)</t>
  </si>
  <si>
    <t>Cleanup supplies</t>
  </si>
  <si>
    <t>Bags + consumables</t>
  </si>
  <si>
    <t>Synthetic underlayment + asphalt shingles (~3.3 sq, matched to existing) + metal flashing at intersections/valleys/penetrations + tie-in shingle weave/step flashing.</t>
  </si>
  <si>
    <t>Screened enclosure: frame ~2' knee walls along perimeter + WHITE VINYL finish at knee walls + screen framing between posts + screening installed/tensioned + trim + frame door opening + screen door w/ hardware.</t>
  </si>
  <si>
    <t>Fireplace lead: system layout + clearances + chimney height (10-3-2 above roofline) + inspection coordination.</t>
  </si>
  <si>
    <t>Construct WB fireplace (~72" wide, manufactured-system basis): footing/structural support + frame/CMU structure + fire-rated substrate + set firebox + smoke chamber + flue liner + chimney system to required termination + spark arrestor + cap + flashing/weatherproofing at roof penetration.</t>
  </si>
  <si>
    <t>Fireplace finish: lath/scratch + customer-selected veneer (~150 SF @ $5/SF) + hearth (~24 SF @ $5/SF, floor-height or raised lip per code) + mantel install ($1,000; clearances verified) + seal.</t>
  </si>
  <si>
    <t>Electrical/HVAC</t>
  </si>
  <si>
    <t>Electrical AS SPECIFICALLY LISTED - scope lists NO fixtures/devices (electric fireplace REMOVED). Carry = coordination/verification only. FLAG: fan/lights/outlets unlisted - resolve before contract.</t>
  </si>
  <si>
    <t>Final walkthrough + fireplace operation review w/ HO + punch.</t>
  </si>
  <si>
    <t>Final fastening/adjustment (roof/screen/fireplace/flashing/trim) + debris + final cleanup + prep for use.</t>
  </si>
  <si>
    <t>TOTALS</t>
  </si>
  <si>
    <t>Risk Type</t>
  </si>
  <si>
    <t>Issue</t>
  </si>
  <si>
    <t>PM Recommendation</t>
  </si>
  <si>
    <t>Electrical scope is EMPTY - resolve before contract</t>
  </si>
  <si>
    <t>CRITICAL</t>
  </si>
  <si>
    <t>Electric fireplace circuit/fixture REMOVED per scope; remaining language = install "as specifically listed" - and NOTHING is listed. No fan, no lights, no outlets anywhere.</t>
  </si>
  <si>
    <t>A screened entertainment porch with a fireplace and ZERO electrical is a near-certain expectation gap (same lesson as the Sugarwood upper enclosure). Ask the customer NOW: fan? lights? GFCI outlets? Each is a cheap add while framing is open and a painful one after the roof/screens close. Get either the additions priced or the zero-electrical intent acknowledged in writing.</t>
  </si>
  <si>
    <t>Fireplace priced on MANUFACTURED system - scope protects the selection</t>
  </si>
  <si>
    <t>Scope allows masonry, framed, or manufactured WB system + says fireplace pricing/scope DEPENDENT on final selected system. Carried: manufactured firebox/flue/chimney (~$3,500 system) + structure + veneer/hearth/mantel allowances.</t>
  </si>
  <si>
    <t>A full site-built masonry fireplace would add $4-8K+ materials + significant labor vs the manufactured basis - the scope language already makes that a re-price, which is good protection. Lock the system selection EARLY (it drives the footing, the chimney chase framing, and the roof penetration). Final details subject to inspection-authority approval per scope.</t>
  </si>
  <si>
    <t>Chimney through the new roof = code height + flashing</t>
  </si>
  <si>
    <t>Chimney/flue extends to required termination above roofline (10-3-2 rule) + spark arrestor + cap + penetration flashing/weatherproofing.</t>
  </si>
  <si>
    <t>The chimney height depends on where it lands relative to the NEW shed roof AND the existing house roof - verify the 10-3-2 geometry at layout (termination can end up taller than customers expect visually). The roof penetration flashing is the leak point - storm collar + counter-flash carefully. Wood-burning appliances draw inspector attention; permits excluded = confirm responsibility in writing.</t>
  </si>
  <si>
    <t>Roof tie-in to existing structure</t>
  </si>
  <si>
    <t>Coordination</t>
  </si>
  <si>
    <t>Shed roof ties into existing roof (ledger and/or beam at home + roof-to-wall/roof-to-roof flashing). Existing framing ASSUMED suitable.</t>
  </si>
  <si>
    <t>Same discipline as Burgie: verify what the ledger lands on + flash the tie-in deliberately. Shingles matched most-similar (aged vs new will show). Concealed conditions at tie-in = CO per scope.</t>
  </si>
  <si>
    <t>$0 permits - roof + solid-fuel appliance are triggers</t>
  </si>
  <si>
    <t>Scope excludes permits/fees/inspections unless listed. New roof structure tied to home + wood-burning fireplace + chimney typically require permits; scope itself references inspection-authority approval for the fireplace.</t>
  </si>
  <si>
    <t>Confirm permitting responsibility in writing before starting - a solid-fuel fireplace without inspection is a liability + insurance problem for the HOMEOWNER too (worth telling them).</t>
  </si>
  <si>
    <t>Fireplace footing pours with the patio</t>
  </si>
  <si>
    <t>Footing/structural support per final fireplace design + weight. Carried as thickened area in the patio pour.</t>
  </si>
  <si>
    <t>Lock the fireplace selection BEFORE the concrete pour - a masonry system may need a deeper/reinforced footing than a manufactured kit. Pouring first + selecting later = saw-cutting your new patio.</t>
  </si>
  <si>
    <t>Veneer/hearth quantities are planning numbers</t>
  </si>
  <si>
    <t>Scope Note</t>
  </si>
  <si>
    <t>~150 SF veneer + ~24 SF hearth carried @ $5/SF allowances; mantel $1,000 (wood only if clearances achieved).</t>
  </si>
  <si>
    <t>Final quantities follow the selected design (72" wide x TBD height). Above-allowance materials = CO. Wood mantel clearance per firebox mfr - verify before promising.</t>
  </si>
  <si>
    <t>Screen system: knee walls + vinyl + door</t>
  </si>
  <si>
    <t>2' knee walls w/ white vinyl finish + tensioned screens + trim + 1 door ($125).</t>
  </si>
  <si>
    <t>Confirm knee-wall runs + door location at layout. $125 door allowance = basic aluminum/wood unit.</t>
  </si>
  <si>
    <t>Dumpster: pavers + fire pit = heavy loads</t>
  </si>
  <si>
    <t>1 12-yd + 1 haul-off given. ~294 SF pavers + masonry fire pit + 3x3 concrete.</t>
  </si>
  <si>
    <t>Dense demo - load smart. Overage = CO.</t>
  </si>
  <si>
    <t>Margin healthy on manufactured basis</t>
  </si>
  <si>
    <t>Cost basis ~$29K vs $57,745 = ~50% GM on the manufactured-fireplace basis - above band.</t>
  </si>
  <si>
    <t>Cushion is real but the fireplace selection is the swing item: full masonry could pull GM back toward ~38-40% (still in band). The scope re-price language is your protection - use it at selection. Outdoor-living + fireplace jobs price well for you, consistent with the bath pattern.</t>
  </si>
  <si>
    <t>Category</t>
  </si>
  <si>
    <t>Project name</t>
  </si>
  <si>
    <t>205 Pawnee Street — Outdoor Entertainment Area: 294 SF Patio + Shed Roof + Screened Enclosure + 72" Wood-Burning Fireplace (FIXED SCOPE)</t>
  </si>
  <si>
    <t>From scope / intake</t>
  </si>
  <si>
    <t>Metadata</t>
  </si>
  <si>
    <t>Overall footprint</t>
  </si>
  <si>
    <t>Tri-Cities Remodeling &amp; Construction Co. — Will Fallon, Elizabethton TN</t>
  </si>
  <si>
    <t>SF</t>
  </si>
  <si>
    <t>From intake and scope</t>
  </si>
  <si>
    <t>Drives flooring, ceiling, production</t>
  </si>
  <si>
    <t>Ceiling height</t>
  </si>
  <si>
    <t>Rate Set A cost/burden. Built on v3 TAKE-OFF STANDARD (itemized + 2026 pricing + per-line source + waste). CONFIRM local pricing.</t>
  </si>
  <si>
    <t>ft</t>
  </si>
  <si>
    <t>Drives wall area</t>
  </si>
  <si>
    <t>Interior wall length</t>
  </si>
  <si>
    <t>PERMITS $0 - scope EXCLUDES unless listed (FLAG: roof tie-in + wood-burning fireplace/chimney typically require permits + inspection; scope references inspection-authority approval - confirm responsibility in writing).</t>
  </si>
  <si>
    <t>LF</t>
  </si>
  <si>
    <t>From intake/drawings or assumptions</t>
  </si>
  <si>
    <t>Drives framing and two-sided finishes</t>
  </si>
  <si>
    <t>Exterior wall length</t>
  </si>
  <si>
    <t>DEMO: pavers ~294 SF + fire pit + 3x3 concrete cut (1 12-yd dumpster + 1 haul-off given - heavy loads). CONCRETE: 4 yd gravel + forms + reinforcement + 4" broom ~294 SF + 3x3 infill + control joints + fireplace footing thickening in pour (LOCK fireplace selection BEFORE pour).</t>
  </si>
  <si>
    <t>Drives framing, insulation, one-sided finishes</t>
  </si>
  <si>
    <t>Finish wall area</t>
  </si>
  <si>
    <t>Editable Labor Rates</t>
  </si>
  <si>
    <t>ROOF: shed over ~294 SF + tie into existing (ledger/beam + roof-to-wall/roof-to-roof flashing; existing framing ASSUMED suitable) + posts to bearing + rafters per span + sheathing + underlayment + shingles matched most-similar + full flashing + chimney-penetration framing.</t>
  </si>
  <si>
    <t>Exterior LF×H + Interior LF×H×2</t>
  </si>
  <si>
    <t>Drives drywall, paint</t>
  </si>
  <si>
    <t>Baseboard gross</t>
  </si>
  <si>
    <t>SCREENED ENCLOSURE: 2' knee walls + WHITE VINYL finish + screen framing/screening tensioned + trim + 1 screen door ($125).</t>
  </si>
  <si>
    <t>Hourly Rate</t>
  </si>
  <si>
    <t>Used For</t>
  </si>
  <si>
    <t>Exterior LF + Interior LF×2 less openings/cabinets</t>
  </si>
  <si>
    <t>Drives trim</t>
  </si>
  <si>
    <t>Door count actual</t>
  </si>
  <si>
    <t>FIREPLACE (~72" wide): carried on MANUFACTURED WB outdoor system basis (~$3,500 firebox/flue/chimney) + structure + fire-rated substrate + chimney to 10-3-2 termination + arrestor/cap + roof-penetration flashing + veneer ~150 SF @ $5/SF + hearth ~24 SF @ $5/SF + mantel $1,000 (wood only if clearances). SCOPE: pricing DEPENDENT on selected system - masonry selection = RE-PRICE (protection language in doc).</t>
  </si>
  <si>
    <t>Laborer, Carpenter, Painter, Drywall, Flooring, Tile, Cabinet install, countertop/template support</t>
  </si>
  <si>
    <t>From drawings / intake</t>
  </si>
  <si>
    <t>Edit B3 only</t>
  </si>
  <si>
    <t>Drives trim and CO logic</t>
  </si>
  <si>
    <t>Door count allowed</t>
  </si>
  <si>
    <t>Any row marked Team Lead</t>
  </si>
  <si>
    <t>ELECTRICAL: electric-fireplace items REMOVED; work "as specifically listed" = NOTHING LISTED (no fan/lights/outlets). Minimal carry only. CRITICAL FLAG: resolve fan/light/outlet expectation BEFORE contract (adds cheap while open; painful after screens close).</t>
  </si>
  <si>
    <t>Edit B4 only</t>
  </si>
  <si>
    <t>From contract baseline</t>
  </si>
  <si>
    <t>Scope alignment</t>
  </si>
  <si>
    <t>Electrician, HVAC Tech, HVAC Helper</t>
  </si>
  <si>
    <t>Edit B5 only</t>
  </si>
  <si>
    <t>Window count actual</t>
  </si>
  <si>
    <t>Plumbing</t>
  </si>
  <si>
    <t>EXCLUDED: engineering/drawings/specialty fireplace design/permitting, gas/propane/appliance connections, decorative concrete, rock/buried-beyond/groundwater/utilities/fill/retaining, drainage/landscaping/sod/irrigation/restoration, concealed conditions (CO).</t>
  </si>
  <si>
    <t>Plumber</t>
  </si>
  <si>
    <t>Edit B6 only</t>
  </si>
  <si>
    <t>Project Manager rows</t>
  </si>
  <si>
    <t>Edit B7 only</t>
  </si>
  <si>
    <t>Window count allowed</t>
  </si>
  <si>
    <t>Field-verify dims/pitch/tie-in/chimney geometry before ordering. Cost basis vs stated TOTAL INVESTMENT $57,745 (~50% GM on manufactured basis; masonry selection pulls toward ~38-40% - still in band).</t>
  </si>
  <si>
    <t>Instructions</t>
  </si>
  <si>
    <t>Change any rate in column B and all linked labor rows plus summary labor totals will update.</t>
  </si>
  <si>
    <t>Example</t>
  </si>
  <si>
    <t>Tile area</t>
  </si>
  <si>
    <t>Set General Labor to 42 to update all General Labor rows everywhere in the workbook.</t>
  </si>
  <si>
    <t>[AI derive]</t>
  </si>
  <si>
    <t>From bath / scope</t>
  </si>
  <si>
    <t>Drives tile materials and labor</t>
  </si>
  <si>
    <t>Production rates used</t>
  </si>
  <si>
    <t>[AI document]</t>
  </si>
  <si>
    <t>Required by prompt</t>
  </si>
  <si>
    <t>Labor realism</t>
  </si>
  <si>
    <t>Source files</t>
  </si>
  <si>
    <t>[AI list]</t>
  </si>
  <si>
    <t>Scope PDF + intake workbook + prompt + template</t>
  </si>
  <si>
    <t>Audit trail</t>
  </si>
  <si>
    <t>Locked Template Guide</t>
  </si>
  <si>
    <t>Purpose</t>
  </si>
  <si>
    <t>Use this exact workbook as the anchor template for every basement remodel output.</t>
  </si>
  <si>
    <t>How to use</t>
  </si>
  <si>
    <t>1) Upload this template 2) Upload PM intake/validation workbook 3) Upload scope PDF 4) Upload locked prompt 5) Ask AI to populate THIS workbook only.</t>
  </si>
  <si>
    <t>Hard rules</t>
  </si>
  <si>
    <t>Do not rename tabs, do not change summary layout, do not hardcode totals, do not remove labor rate controls.</t>
  </si>
  <si>
    <t>Auto-create sections</t>
  </si>
  <si>
    <t>AI must map scope items into the standard sections listed on Section_Master (S11-S40, 30 sections). Unused sections stay in Summary with zero totals; detail tabs only get rows for relevant sections.</t>
  </si>
  <si>
    <t>Dropdowns</t>
  </si>
  <si>
    <t>Detail tabs use dropdown lists for Section, Rate Category, Risk Type, and common Units to keep data normalized.</t>
  </si>
  <si>
    <t>Change order logic</t>
  </si>
  <si>
    <t>Use PM intake scope-alignment flags to note credit opportunities and change-order risks in PM_Notes.</t>
  </si>
  <si>
    <t>Best practice</t>
  </si>
  <si>
    <t>Always upload this template with the prompt so the AI can match structure, formulas, and layout instead of improvising.</t>
  </si>
  <si>
    <t>Material take-off standard</t>
  </si>
  <si>
    <t>STANDARD (v3): Material_Detail must be an ITEMIZED QUANTITY TAKE-OFF, not "lot" lines. Break every material into orderable units (sticks/sheets/bundles/rolls/bags/buckets/LF/sq) with a real Quantity, Unit, and Unit Cost. Use current web-searched pricing; cite the source/date in the Notes/Pricing Source column. Apply a per-material Waste Factor (col G). Keep scope ALLOWANCE items at their face value and flag "ALLOWANCE" in Notes. See the TakeOff_Standard tab for the full process, waste-factor convention, and current pricing benchmarks.</t>
  </si>
  <si>
    <t>Pricing currency</t>
  </si>
  <si>
    <t>Material unit prices go stale. Re-confirm current pricing each build (web search for the movers: metal roof panels, cabinets, framing lumber, drywall, LVP, siding). All benchmark figures are national-average retail — PMs confirm local Tri-Cities supplier pricing before ordering. Bulk drywall (34+ sheets) typically 10-25% less.</t>
  </si>
  <si>
    <t>Version</t>
  </si>
  <si>
    <t>v3 - Added MATERIAL TAKE-OFF STANDARD. Material_Detail is now an itemized quantity take-off (orderable units + current pricing + per-line source + per-material waste). Added TakeOff_Standard tab (process + waste convention + 2026 pricing benchmarks). Expanded Units dropdown. Notes header -&gt; "Notes / Pricing Source". All v2 mechanics, formulas, tab names, cell positions, and section structure UNCHANGED.</t>
  </si>
  <si>
    <t>Sections</t>
  </si>
  <si>
    <t>Standard Section</t>
  </si>
  <si>
    <t>Rate Categories</t>
  </si>
  <si>
    <t>Risk Types</t>
  </si>
  <si>
    <t>Default Include</t>
  </si>
  <si>
    <t>Units</t>
  </si>
  <si>
    <t>Use For / Notes</t>
  </si>
  <si>
    <t>Include?</t>
  </si>
  <si>
    <t>General Conditions &amp; Project Management</t>
  </si>
  <si>
    <t>Yes</t>
  </si>
  <si>
    <t>Site setup, PM time, scheduling, protection</t>
  </si>
  <si>
    <t>Scope Gap</t>
  </si>
  <si>
    <t>Selective Demolition</t>
  </si>
  <si>
    <t>Selective demo, removals, disposal, concrete sawcut</t>
  </si>
  <si>
    <t>Framing</t>
  </si>
  <si>
    <t>Exterior/interior walls, soffits, chases, blocking</t>
  </si>
  <si>
    <t>Change Order Risk</t>
  </si>
  <si>
    <t>Windows &amp; Exterior Openings</t>
  </si>
  <si>
    <t>lf</t>
  </si>
  <si>
    <t>No</t>
  </si>
  <si>
    <t>Credit Opportunity</t>
  </si>
  <si>
    <t>New windows, exterior doors, lintels, flashing</t>
  </si>
  <si>
    <t>Existing Conditions</t>
  </si>
  <si>
    <t>Plumbing &amp; Waste Pump System</t>
  </si>
  <si>
    <t>Bath, kitchen, laundry, below-slab, ejector/pump</t>
  </si>
  <si>
    <t>Takeoff Assumption</t>
  </si>
  <si>
    <t>Electrical</t>
  </si>
  <si>
    <t>Subpanel, branch circuits, lighting, devices</t>
  </si>
  <si>
    <t>Structural Risk</t>
  </si>
  <si>
    <t>gal</t>
  </si>
  <si>
    <t>HVAC - 3 Zone Mini Split</t>
  </si>
  <si>
    <t>bag</t>
  </si>
  <si>
    <t>Mini split or other HVAC equipment and startup</t>
  </si>
  <si>
    <t>Insulation &amp; Air Sealing</t>
  </si>
  <si>
    <t>Sequencing</t>
  </si>
  <si>
    <t>box</t>
  </si>
  <si>
    <t>Batt, foam, air sealing, sound attenuation</t>
  </si>
  <si>
    <t>Drywall &amp; Finishing</t>
  </si>
  <si>
    <t>Production Risk</t>
  </si>
  <si>
    <t>roll</t>
  </si>
  <si>
    <t>Wall board, taping, mud, sanding, access panels</t>
  </si>
  <si>
    <t>Suspended Ceiling System</t>
  </si>
  <si>
    <t>Allowance Risk</t>
  </si>
  <si>
    <t>set</t>
  </si>
  <si>
    <t>Drop ceiling grid, tile, access coordination</t>
  </si>
  <si>
    <t>Interior Doors, Trim &amp; Hardware</t>
  </si>
  <si>
    <t>pair</t>
  </si>
  <si>
    <t>Flooring</t>
  </si>
  <si>
    <t>Interior doors, base, casing, hardware, trim</t>
  </si>
  <si>
    <t>Painting</t>
  </si>
  <si>
    <t>LVP, tile underlayment, transitions, prep</t>
  </si>
  <si>
    <t>bucket</t>
  </si>
  <si>
    <t>Master Bathroom</t>
  </si>
  <si>
    <t>Primer, finish paint, trim/door coating</t>
  </si>
  <si>
    <t>Kitchen</t>
  </si>
  <si>
    <t>tube</t>
  </si>
  <si>
    <t>Shower, tile, vanity, toilet, bath finishes</t>
  </si>
  <si>
    <t>Cleanup &amp; Closeout</t>
  </si>
  <si>
    <t>pack</t>
  </si>
  <si>
    <t>Garage / Conversion Area</t>
  </si>
  <si>
    <t>Cabinets, counters, sink/faucet, appliance set</t>
  </si>
  <si>
    <t>pail</t>
  </si>
  <si>
    <t>Laundry / Pantry / Utility Relocation</t>
  </si>
  <si>
    <t>bundle</t>
  </si>
  <si>
    <t>Final clean, punch support, closeout</t>
  </si>
  <si>
    <t>Closets &amp; Storage Build-Out</t>
  </si>
  <si>
    <t>stick</t>
  </si>
  <si>
    <t>Garage-to-living, floor framing, vapor barrier, structural</t>
  </si>
  <si>
    <t>Concrete Flatwork &amp; Site Work</t>
  </si>
  <si>
    <t>board</t>
  </si>
  <si>
    <t>WH relocation, washer/dryer hookup, pantry build-out</t>
  </si>
  <si>
    <t>Decking, Landings &amp; Exterior Stairs</t>
  </si>
  <si>
    <t>allow</t>
  </si>
  <si>
    <t>Walk-in closets, shelving, built-in storage framing</t>
  </si>
  <si>
    <t>Roofing &amp; Flashing</t>
  </si>
  <si>
    <t>Specialty Finish Area A</t>
  </si>
  <si>
    <t>Specialty Finish Area B</t>
  </si>
  <si>
    <t>Patio, driveway, footers, crawl space concrete</t>
  </si>
  <si>
    <t>Specialty Finish Area C</t>
  </si>
  <si>
    <t>PT deck, landing, stairs, railing system</t>
  </si>
  <si>
    <t>Specialty Finish Area D</t>
  </si>
  <si>
    <t>Optional Package A</t>
  </si>
  <si>
    <t>Shingles, underlayment, valleys, boots, gutters</t>
  </si>
  <si>
    <t>Optional Package B</t>
  </si>
  <si>
    <t>Optional Package C</t>
  </si>
  <si>
    <t>Custom use: tile room, sunroom, flex room build-out</t>
  </si>
  <si>
    <t>Custom use: second bathroom, powder room, wet bar</t>
  </si>
  <si>
    <t>Custom use: bonus room, loft, exercise room</t>
  </si>
  <si>
    <t>Custom use: office, media room, mudroom</t>
  </si>
  <si>
    <t>Optional add-on package A - price separately</t>
  </si>
  <si>
    <t>Optional add-on package B - price separately</t>
  </si>
  <si>
    <t>Optional add-on package C - price separately</t>
  </si>
  <si>
    <t>Final clean, punch support, closeout, walkthrough</t>
  </si>
  <si>
    <t>Material Take-Off Standard — Tri-Cities Remodeling &amp; Construction Co.</t>
  </si>
  <si>
    <t>Applies to every estimating workbook built from this template (v3+). This tab travels with the file so the standard is replicable without prior context.</t>
  </si>
  <si>
    <t>THE STANDARD</t>
  </si>
  <si>
    <t>Material_Detail is an ITEMIZED QUANTITY TAKE-OFF, not "lot" placeholder lines. Every material is broken into the units a PM would actually order (sticks, sheets, bundles, rolls, bags, buckets, LF, squares), each with a real Quantity, Unit, and Unit Cost. Goal: a PM can order directly off the sheet.</t>
  </si>
  <si>
    <t>7-STEP PROCESS</t>
  </si>
  <si>
    <t>1. Intake + clarify (billing method, permits, key SF/LF quantities, allowance handling) — same as always.</t>
  </si>
  <si>
    <t>2. Map scope to the standard sections (S11-S40). Set capped/limit quantities where scope states limits.</t>
  </si>
  <si>
    <t>3. RESEARCH PRICING: web-search current unit prices for the movers (metal roof, cabinets, framing lumber, drywall, LVP, siding, insulation, gutters). Retailer pages hide live prices behind JS — use cost-guide aggregators (homeguide, angi, modernize, thisoldhouse, costflowai) that publish actual figures.</t>
  </si>
  <si>
    <t>4. Build the take-off: one Material_Detail row per orderable item. Fill Quantity, Unit, Unit Cost. Put the price source + date in Notes/Pricing Source (e.g. "2026 natl-avg retail; confirm local").</t>
  </si>
  <si>
    <t>5. Apply per-material Waste Factor in col G (see convention below). Line Total auto-calcs = Qty x Unit Cost x (1 + Waste).</t>
  </si>
  <si>
    <t>6. Keep scope ALLOWANCE items at face value (cabinets, windows, doors, LVP $/SF, fixtures, deep clean). Flag "ALLOWANCE per scope" in Notes. Do NOT itemize inside an allowance.</t>
  </si>
  <si>
    <t>7. Validate (0 section-name mismatches, TOTALS row 41), copy to outputs, present, report totals + PM notes + assumptions. Note material total may shift vs a lot-based pass once itemized.</t>
  </si>
  <si>
    <t>WASTE-FACTOR CONVENTION (col G; editable per line)</t>
  </si>
  <si>
    <t>Material class</t>
  </si>
  <si>
    <t>Waste %</t>
  </si>
  <si>
    <t>Drywall, siding, LVP, decking</t>
  </si>
  <si>
    <t>10%</t>
  </si>
  <si>
    <t>Framing lumber (rafters/joists/studs/plates)</t>
  </si>
  <si>
    <t>8%</t>
  </si>
  <si>
    <t>Sheathing (OSB/ply), roofing panels, trim, insulation</t>
  </si>
  <si>
    <t>5%</t>
  </si>
  <si>
    <t>Cut-up / cathedral / vaulted areas (bump up)</t>
  </si>
  <si>
    <t>15-20%</t>
  </si>
  <si>
    <t>Allowances + fixed/quoted items + fixtures</t>
  </si>
  <si>
    <t>0%</t>
  </si>
  <si>
    <t>ALLOWANCE CONVENTION</t>
  </si>
  <si>
    <t>Scope-stated allowances are carried at face value as a single line at their $ amount (Unit = "allow" or "ea"/"sf" as appropriate), flagged "ALLOWANCE per scope" in Notes. Examples: cabinets, countertops, windows ($/ea), doors ($/ea), LVP ($/SF), fans/fixtures ($/ea), deep clean. Contractor-selected construction materials (lumber, sheathing, drywall, paint, fasteners, etc.) ARE itemized.</t>
  </si>
  <si>
    <t>PRICING BENCHMARKS — current as of June 2026</t>
  </si>
  <si>
    <t>National-average retail (Home Depot / Lowe's / cost-guide data). CONFIRM LOCAL Tri-Cities supplier pricing before ordering. Re-verify each build — these go stale.</t>
  </si>
  <si>
    <t>Item</t>
  </si>
  <si>
    <t>2026 range</t>
  </si>
  <si>
    <t>Value to use</t>
  </si>
  <si>
    <t>Source / note</t>
  </si>
  <si>
    <t>1/2" drywall 4x8 standard</t>
  </si>
  <si>
    <t>$12-16</t>
  </si>
  <si>
    <t>$14</t>
  </si>
  <si>
    <t>HomeGuide/costflowai 2026</t>
  </si>
  <si>
    <t>1/2" MR (green) board 4x8</t>
  </si>
  <si>
    <t>+25-30%</t>
  </si>
  <si>
    <t>$18</t>
  </si>
  <si>
    <t>costflowai 2026</t>
  </si>
  <si>
    <t>5/8" Type X drywall 4x8</t>
  </si>
  <si>
    <t>$13-17</t>
  </si>
  <si>
    <t>$15</t>
  </si>
  <si>
    <t>homeguide 2026</t>
  </si>
  <si>
    <t>Joint compound 4.5-gal bucket</t>
  </si>
  <si>
    <t>~$18</t>
  </si>
  <si>
    <t>1 bucket / 250-300 SF; costflowai</t>
  </si>
  <si>
    <t>Metal panel, exposed-fastener 26-ga</t>
  </si>
  <si>
    <t>steel $2-5/SF</t>
  </si>
  <si>
    <t>$235/sq</t>
  </si>
  <si>
    <t>Western States/RoofPredict 2026</t>
  </si>
  <si>
    <t>Metal panel, standing seam</t>
  </si>
  <si>
    <t>$150-200 mat</t>
  </si>
  <si>
    <t>re-price</t>
  </si>
  <si>
    <t>RoofPredict 2026 (if existing is SS)</t>
  </si>
  <si>
    <t>Metal roof trim/ridge/flashing</t>
  </si>
  <si>
    <t>% of panel</t>
  </si>
  <si>
    <t>+25% expo</t>
  </si>
  <si>
    <t>sep lines</t>
  </si>
  <si>
    <t>Western States (exposed-fastener)</t>
  </si>
  <si>
    <t>Synthetic roof underlayment</t>
  </si>
  <si>
    <t>roll (10 sq)</t>
  </si>
  <si>
    <t>~$150-180</t>
  </si>
  <si>
    <t>$165</t>
  </si>
  <si>
    <t>market 2026</t>
  </si>
  <si>
    <t>7/16 OSB sheathing 4x8</t>
  </si>
  <si>
    <t>$10-25</t>
  </si>
  <si>
    <t>BuildShow/Angi 2026</t>
  </si>
  <si>
    <t>3/4" T&amp;G OSB subfloor 4x8</t>
  </si>
  <si>
    <t>$50-77</t>
  </si>
  <si>
    <t>$38-50</t>
  </si>
  <si>
    <t>Angi 2026 (mid-range)</t>
  </si>
  <si>
    <t>1/2" CDX plywood 4x8</t>
  </si>
  <si>
    <t>$16-24</t>
  </si>
  <si>
    <t>$20</t>
  </si>
  <si>
    <t>BuildShow 2026</t>
  </si>
  <si>
    <t>House wrap (Tyvek 9x100)</t>
  </si>
  <si>
    <t>$0.50-1.00/SF</t>
  </si>
  <si>
    <t>$165/roll</t>
  </si>
  <si>
    <t>mysiteplan 2026</t>
  </si>
  <si>
    <t>Vinyl siding, basic lap</t>
  </si>
  <si>
    <t>$1.50-2.00/SF mat</t>
  </si>
  <si>
    <t>$165/sq</t>
  </si>
  <si>
    <t>Peak&amp;Valley/Modernize 2026</t>
  </si>
  <si>
    <t>Fascia / soffit replacement</t>
  </si>
  <si>
    <t>$4-22 install</t>
  </si>
  <si>
    <t>mat ~$3-4</t>
  </si>
  <si>
    <t>Drip edge</t>
  </si>
  <si>
    <t>$1.50-3.00</t>
  </si>
  <si>
    <t>$3.25</t>
  </si>
  <si>
    <t>Seamless aluminum gutter (5")</t>
  </si>
  <si>
    <t>$2-3 mat</t>
  </si>
  <si>
    <t>$2.75</t>
  </si>
  <si>
    <t>ThisOldHouse/Angi 2026</t>
  </si>
  <si>
    <t>Downspout (2x3 aluminum)</t>
  </si>
  <si>
    <t>$2.50</t>
  </si>
  <si>
    <t>Fiberglass batt (R-13/19/30)</t>
  </si>
  <si>
    <t>$0.30-1.50/SF</t>
  </si>
  <si>
    <t>$48-62/bag</t>
  </si>
  <si>
    <t>Angi/HomeGuide 2026</t>
  </si>
  <si>
    <t>Framing lumber (dimensional)</t>
  </si>
  <si>
    <t>ea/bf</t>
  </si>
  <si>
    <t>$1-5/SF bldg</t>
  </si>
  <si>
    <t>by member</t>
  </si>
  <si>
    <t>NAHB/costflowai 2026</t>
  </si>
  <si>
    <t>LVL beam</t>
  </si>
  <si>
    <t>~2x dimensional</t>
  </si>
  <si>
    <t>by span</t>
  </si>
  <si>
    <t>2x stud / rafter / joist</t>
  </si>
  <si>
    <t>market</t>
  </si>
  <si>
    <t>confirm</t>
  </si>
  <si>
    <t>HD/Lowe's (live price; confirm)</t>
  </si>
  <si>
    <t>PT deck lumber</t>
  </si>
  <si>
    <t>CAVEATS</t>
  </si>
  <si>
    <t>These are NATIONAL-AVERAGE RETAIL figures. Regional + bulk pricing varies materially. Lock supplier quotes on the high-dollar movers before committing a bid.</t>
  </si>
  <si>
    <t>On insurance work, take-off quantities are sized to CAPPED scope limits. Concealed conditions beyond a cap = written SUPPLEMENT, not absorbed. The take-off gives the adjuster line-item backup.</t>
  </si>
  <si>
    <t>Pre-exposure framing counts are estimates sized to the SF caps. Field-verify after tear-off before ordering lumber.</t>
  </si>
  <si>
    <t>Re-research pricing each build. A figure good in Jun 2026 will drift. The "movers" (metal roof, cabinets, lumber, drywall, LVP) move most.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</si>
</sst>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$&quot;#,##0.00"/>
    <numFmt numFmtId="166" formatCode="$0.00"/>
  </numFmts>
  <fonts count="13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theme="1"/>
      <name val="Carlito"/>
      <scheme val="minor"/>
    </font>
    <font>
      <b/>
      <sz val="11.0"/>
      <color rgb="FF1F1F1F"/>
      <name val="Carlito"/>
    </font>
    <font>
      <b/>
      <sz val="10.0"/>
      <color rgb="FF1F3864"/>
      <name val="Arial"/>
    </font>
    <font>
      <sz val="10.0"/>
      <color theme="1"/>
      <name val="Arial"/>
    </font>
    <font>
      <b/>
      <sz val="13.0"/>
      <color rgb="FF1F3864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1F3864"/>
        <bgColor rgb="FF1F3864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3" numFmtId="164" xfId="0" applyFont="1" applyNumberFormat="1"/>
    <xf borderId="0" fillId="0" fontId="3" numFmtId="2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0" fontId="3" numFmtId="9" xfId="0" applyAlignment="1" applyFont="1" applyNumberForma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" xfId="0" applyAlignment="1" applyFont="1" applyNumberFormat="1">
      <alignment shrinkToFit="0" wrapText="1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shrinkToFit="0" wrapText="1"/>
    </xf>
    <xf borderId="0" fillId="0" fontId="3" numFmtId="165" xfId="0" applyAlignment="1" applyFont="1" applyNumberFormat="1">
      <alignment horizontal="right" vertical="bottom"/>
    </xf>
    <xf borderId="0" fillId="5" fontId="4" numFmtId="0" xfId="0" applyAlignment="1" applyFill="1" applyFont="1">
      <alignment horizontal="center" shrinkToFit="0" vertical="center" wrapText="1"/>
    </xf>
    <xf borderId="0" fillId="5" fontId="4" numFmtId="4" xfId="0" applyAlignment="1" applyFill="1" applyFont="1" applyNumberFormat="1">
      <alignment horizontal="center" shrinkToFit="0" vertical="center" wrapText="1"/>
    </xf>
    <xf borderId="0" fillId="5" fontId="4" numFmtId="164" xfId="0" applyAlignment="1" applyFill="1" applyFont="1" applyNumberFormat="1">
      <alignment horizontal="center" shrinkToFit="0" vertical="center" wrapText="1"/>
    </xf>
    <xf borderId="0" fillId="0" fontId="3" numFmtId="2" xfId="0" applyAlignment="1" applyFont="1" applyNumberFormat="1">
      <alignment shrinkToFit="0" wrapText="1"/>
    </xf>
    <xf borderId="0" fillId="0" fontId="6" numFmtId="0" xfId="0" applyFont="1"/>
    <xf borderId="0" fillId="0" fontId="3" numFmtId="165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166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5" fontId="4" numFmtId="9" xfId="0" applyAlignment="1" applyFill="1" applyFont="1" applyNumberFormat="1">
      <alignment horizontal="center" shrinkToFit="0" vertical="center" wrapText="1"/>
    </xf>
    <xf borderId="0" fillId="5" fontId="7" numFmtId="0" xfId="0" applyFill="1" applyFont="1"/>
    <xf borderId="0" fillId="5" fontId="7" numFmtId="166" xfId="0" applyFill="1" applyFont="1" applyNumberFormat="1"/>
    <xf borderId="0" fillId="5" fontId="7" numFmtId="2" xfId="0" applyFill="1" applyFont="1" applyNumberFormat="1"/>
    <xf borderId="0" fillId="5" fontId="4" numFmtId="2" xfId="0" applyAlignment="1" applyFill="1" applyFont="1" applyNumberFormat="1">
      <alignment horizontal="center" shrinkToFit="0" vertical="center" wrapText="1"/>
    </xf>
    <xf borderId="0" fillId="5" fontId="4" numFmtId="166" xfId="0" applyAlignment="1" applyFill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5" fontId="8" numFmtId="0" xfId="0" applyFill="1" applyFont="1"/>
    <xf borderId="0" fillId="0" fontId="9" numFmtId="0" xfId="0" applyFont="1"/>
    <xf borderId="0" fillId="0" fontId="10" numFmtId="0" xfId="0" applyAlignment="1" applyFont="1">
      <alignment shrinkToFit="0" vertical="top" wrapText="1"/>
    </xf>
    <xf borderId="0" fillId="3" fontId="1" numFmtId="0" xfId="0" applyAlignment="1" applyFill="1" applyFont="1">
      <alignment horizontal="center" vertical="center"/>
    </xf>
    <xf borderId="0" fillId="0" fontId="11" numFmtId="0" xfId="0" applyFont="1"/>
    <xf borderId="0" fillId="0" fontId="9" numFmtId="0" xfId="0" applyAlignment="1" applyFont="1">
      <alignment shrinkToFit="0" vertical="top" wrapText="1"/>
    </xf>
    <xf borderId="0" fillId="6" fontId="12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Material_Detail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Labor_Detail-style">
      <tableStyleElement dxfId="1" type="headerRow"/>
      <tableStyleElement dxfId="2" type="firstRowStripe"/>
      <tableStyleElement dxfId="3" type="secondRowStripe"/>
    </tableStyle>
    <tableStyle count="3" pivot="0" name="Equipment_Detail-style">
      <tableStyleElement dxfId="1" type="headerRow"/>
      <tableStyleElement dxfId="2" type="firstRowStripe"/>
      <tableStyleElement dxfId="3" type="secondRowStripe"/>
    </tableStyle>
    <tableStyle count="3" pivot="0" name="PM_No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F27" displayName="Table_1" name="Table_1" id="1">
  <tableColumns count="6">
    <tableColumn name="Section" id="1"/>
    <tableColumn name="Labor Cost" id="2"/>
    <tableColumn name="Material Cost" id="3"/>
    <tableColumn name="Equipment Cost" id="4"/>
    <tableColumn name="Section Total" id="5"/>
    <tableColumn name="Labor Hours" id="6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1:F52" displayName="Table_3" name="Table_3" id="3">
  <tableColumns count="6">
    <tableColumn name="Section" id="1"/>
    <tableColumn name="Trade Role" id="2"/>
    <tableColumn name="Hours" id="3"/>
    <tableColumn name="Rate" id="4"/>
    <tableColumn name="Labor Cost" id="5"/>
    <tableColumn name="Notes" id="6"/>
  </tableColumns>
  <tableStyleInfo name="Labor_Detail-style" showColumnStripes="0" showFirstColumn="1" showLastColumn="1" showRowStripes="1"/>
</table>
</file>

<file path=xl/tables/table3.xml><?xml version="1.0" encoding="utf-8"?>
<table xmlns="http://schemas.openxmlformats.org/spreadsheetml/2006/main" ref="A1:I86" displayName="Table_2" name="Table_2" id="2">
  <tableColumns count="9">
    <tableColumn name="Section" id="1"/>
    <tableColumn name="Material" id="2"/>
    <tableColumn name="Description" id="3"/>
    <tableColumn name="Quantity" id="4"/>
    <tableColumn name="Unit" id="5"/>
    <tableColumn name="Unit Cost" id="6"/>
    <tableColumn name="Waste Factor" id="7"/>
    <tableColumn name="Line Total" id="8"/>
    <tableColumn name="Notes / Pricing Source" id="9"/>
  </tableColumns>
  <tableStyleInfo name="Material_Detail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4" name="Table_4" id="4">
  <tableColumns count="7">
    <tableColumn name="Section" id="1"/>
    <tableColumn name="Equipment or Misc Item" id="2"/>
    <tableColumn name="Quantity" id="3"/>
    <tableColumn name="Unit" id="4"/>
    <tableColumn name="Unit Cost" id="5"/>
    <tableColumn name="Line Total" id="6"/>
    <tableColumn name="Notes" id="7"/>
  </tableColumns>
  <tableStyleInfo name="Equipment_Detail-style" showColumnStripes="0" showFirstColumn="1" showLastColumn="1" showRowStripes="1"/>
</table>
</file>

<file path=xl/tables/table5.xml><?xml version="1.0" encoding="utf-8"?>
<table xmlns="http://schemas.openxmlformats.org/spreadsheetml/2006/main" ref="A1:D17" displayName="Table_5" name="Table_5" id="5">
  <tableColumns count="4">
    <tableColumn name="Section" id="1"/>
    <tableColumn name="Risk Type" id="2"/>
    <tableColumn name="Issue" id="3"/>
    <tableColumn name="PM Recommendation" id="4"/>
  </tableColumns>
  <tableStyleInfo name="PM_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6" width="14.0"/>
    <col customWidth="1" min="7" max="9" width="8.63"/>
    <col customWidth="1" min="10" max="11" width="16.0"/>
    <col customWidth="1" min="12" max="26" width="8.63"/>
  </cols>
  <sheetData>
    <row r="1" ht="16.5" customHeight="1">
      <c r="A1" s="2" t="s">
        <v>1</v>
      </c>
      <c r="J1" s="3" t="s">
        <v>8</v>
      </c>
    </row>
    <row r="2" ht="16.5" customHeight="1">
      <c r="A2" s="4"/>
      <c r="B2" s="4"/>
      <c r="C2" s="4"/>
      <c r="D2" s="4"/>
      <c r="E2" s="4"/>
      <c r="F2" s="4"/>
      <c r="J2" s="5" t="s">
        <v>14</v>
      </c>
      <c r="K2" s="9">
        <f>SUM(B11:B40)</f>
        <v>13652.66</v>
      </c>
    </row>
    <row r="3" ht="16.5" customHeight="1">
      <c r="A3" s="12" t="s">
        <v>25</v>
      </c>
      <c r="B3" s="4" t="s">
        <v>26</v>
      </c>
      <c r="C3" s="4"/>
      <c r="D3" s="4"/>
      <c r="E3" s="4"/>
      <c r="F3" s="4"/>
      <c r="J3" s="5" t="s">
        <v>27</v>
      </c>
      <c r="K3" s="9">
        <f>SUM(C11:C40)</f>
        <v>13809.91</v>
      </c>
    </row>
    <row r="4" ht="16.5" customHeight="1">
      <c r="A4" s="12" t="s">
        <v>28</v>
      </c>
      <c r="B4" s="4" t="s">
        <v>29</v>
      </c>
      <c r="C4" s="4"/>
      <c r="D4" s="4"/>
      <c r="E4" s="4"/>
      <c r="F4" s="4"/>
      <c r="J4" s="5" t="s">
        <v>30</v>
      </c>
      <c r="K4" s="9">
        <f>SUM(D11:D40)</f>
        <v>535</v>
      </c>
    </row>
    <row r="5" ht="16.5" customHeight="1">
      <c r="A5" s="12" t="s">
        <v>31</v>
      </c>
      <c r="B5" s="4" t="s">
        <v>32</v>
      </c>
      <c r="C5" s="4"/>
      <c r="D5" s="4"/>
      <c r="E5" s="4"/>
      <c r="F5" s="4"/>
      <c r="J5" s="5" t="s">
        <v>33</v>
      </c>
      <c r="K5" s="9">
        <f>SUM(E11:E40)</f>
        <v>27997.57</v>
      </c>
    </row>
    <row r="6" ht="16.5" customHeight="1">
      <c r="A6" s="12" t="s">
        <v>38</v>
      </c>
      <c r="B6" s="15">
        <v>294.0</v>
      </c>
      <c r="C6" s="4"/>
      <c r="D6" s="4"/>
      <c r="E6" s="4"/>
      <c r="F6" s="4"/>
    </row>
    <row r="7" ht="16.5" customHeight="1">
      <c r="A7" s="12" t="s">
        <v>42</v>
      </c>
      <c r="B7" s="4">
        <v>1.0</v>
      </c>
      <c r="C7" s="4"/>
      <c r="D7" s="4"/>
      <c r="E7" s="4"/>
      <c r="F7" s="4"/>
    </row>
    <row r="8" ht="16.5" customHeight="1">
      <c r="A8" s="12" t="s">
        <v>44</v>
      </c>
      <c r="B8" s="4" t="s">
        <v>45</v>
      </c>
      <c r="C8" s="4"/>
      <c r="D8" s="4"/>
      <c r="E8" s="4"/>
      <c r="F8" s="4"/>
    </row>
    <row r="9" ht="16.5" customHeight="1">
      <c r="A9" s="4"/>
      <c r="B9" s="4"/>
      <c r="C9" s="4"/>
      <c r="D9" s="4"/>
      <c r="E9" s="4"/>
      <c r="F9" s="4"/>
      <c r="J9" s="16" t="s">
        <v>47</v>
      </c>
      <c r="K9" s="18">
        <v>57745.0</v>
      </c>
    </row>
    <row r="10" ht="16.5" customHeight="1">
      <c r="A10" s="1" t="s">
        <v>0</v>
      </c>
      <c r="B10" s="1" t="s">
        <v>14</v>
      </c>
      <c r="C10" s="1" t="s">
        <v>27</v>
      </c>
      <c r="D10" s="1" t="s">
        <v>30</v>
      </c>
      <c r="E10" s="1" t="s">
        <v>56</v>
      </c>
      <c r="F10" s="1" t="s">
        <v>57</v>
      </c>
      <c r="J10" s="16" t="s">
        <v>58</v>
      </c>
      <c r="K10" s="20">
        <f>K5</f>
        <v>27997.57</v>
      </c>
    </row>
    <row r="11" ht="16.5" customHeight="1">
      <c r="A11" s="7" t="s">
        <v>18</v>
      </c>
      <c r="B11" s="19">
        <f>SUMIF(Labor_Detail!$A:$A,A11,Labor_Detail!$E:$E)</f>
        <v>1309.46</v>
      </c>
      <c r="C11" s="19">
        <f>SUMIF(Material_Detail!$A:$A,A11,Material_Detail!$H:$H)</f>
        <v>185</v>
      </c>
      <c r="D11" s="19">
        <f>SUMIF(Equipment_Detail!$A:$A,A11,Equipment_Detail!$F:$F)</f>
        <v>0</v>
      </c>
      <c r="E11" s="19">
        <f t="shared" ref="E11:E40" si="1">SUM(B11:D11)</f>
        <v>1494.46</v>
      </c>
      <c r="F11" s="24">
        <f>SUMIF(Labor_Detail!$A:$A,A11,Labor_Detail!$C:$C)</f>
        <v>30</v>
      </c>
      <c r="J11" s="16"/>
      <c r="K11" s="16"/>
    </row>
    <row r="12" ht="16.5" customHeight="1">
      <c r="A12" s="7" t="s">
        <v>21</v>
      </c>
      <c r="B12" s="19">
        <f>SUMIF(Labor_Detail!$A:$A,A12,Labor_Detail!$E:$E)</f>
        <v>679</v>
      </c>
      <c r="C12" s="19">
        <f>SUMIF(Material_Detail!$A:$A,A12,Material_Detail!$H:$H)</f>
        <v>185</v>
      </c>
      <c r="D12" s="19">
        <f>SUMIF(Equipment_Detail!$A:$A,A12,Equipment_Detail!$F:$F)</f>
        <v>250</v>
      </c>
      <c r="E12" s="19">
        <f t="shared" si="1"/>
        <v>1114</v>
      </c>
      <c r="F12" s="24">
        <f>SUMIF(Labor_Detail!$A:$A,A12,Labor_Detail!$C:$C)</f>
        <v>20</v>
      </c>
      <c r="J12" s="16" t="s">
        <v>92</v>
      </c>
      <c r="K12" s="26">
        <f>K9 - K10</f>
        <v>29747.43</v>
      </c>
    </row>
    <row r="13" ht="16.5" customHeight="1">
      <c r="A13" s="7" t="s">
        <v>36</v>
      </c>
      <c r="B13" s="19">
        <f>SUMIF(Labor_Detail!$A:$A,A13,Labor_Detail!$E:$E)</f>
        <v>1436</v>
      </c>
      <c r="C13" s="19">
        <f>SUMIF(Material_Detail!$A:$A,A13,Material_Detail!$H:$H)</f>
        <v>1468</v>
      </c>
      <c r="D13" s="19">
        <f>SUMIF(Equipment_Detail!$A:$A,A13,Equipment_Detail!$F:$F)</f>
        <v>285</v>
      </c>
      <c r="E13" s="19">
        <f t="shared" si="1"/>
        <v>3189</v>
      </c>
      <c r="F13" s="24">
        <f>SUMIF(Labor_Detail!$A:$A,A13,Labor_Detail!$C:$C)</f>
        <v>42</v>
      </c>
      <c r="J13" s="16" t="s">
        <v>105</v>
      </c>
      <c r="K13" s="27">
        <f>K12/K9</f>
        <v>0.5151516149</v>
      </c>
    </row>
    <row r="14" ht="16.5" customHeight="1">
      <c r="A14" s="7" t="s">
        <v>67</v>
      </c>
      <c r="B14" s="19">
        <f>SUMIF(Labor_Detail!$A:$A,A14,Labor_Detail!$E:$E)</f>
        <v>2406.8</v>
      </c>
      <c r="C14" s="19">
        <f>SUMIF(Material_Detail!$A:$A,A14,Material_Detail!$H:$H)</f>
        <v>1983.31</v>
      </c>
      <c r="D14" s="19">
        <f>SUMIF(Equipment_Detail!$A:$A,A14,Equipment_Detail!$F:$F)</f>
        <v>0</v>
      </c>
      <c r="E14" s="19">
        <f t="shared" si="1"/>
        <v>4390.11</v>
      </c>
      <c r="F14" s="24">
        <f>SUMIF(Labor_Detail!$A:$A,A14,Labor_Detail!$C:$C)</f>
        <v>70</v>
      </c>
    </row>
    <row r="15" ht="16.5" customHeight="1">
      <c r="A15" s="7" t="s">
        <v>84</v>
      </c>
      <c r="B15" s="19">
        <f>SUMIF(Labor_Detail!$A:$A,A15,Labor_Detail!$E:$E)</f>
        <v>814.8</v>
      </c>
      <c r="C15" s="19">
        <f>SUMIF(Material_Detail!$A:$A,A15,Material_Detail!$H:$H)</f>
        <v>839.3</v>
      </c>
      <c r="D15" s="19">
        <f>SUMIF(Equipment_Detail!$A:$A,A15,Equipment_Detail!$F:$F)</f>
        <v>0</v>
      </c>
      <c r="E15" s="19">
        <f t="shared" si="1"/>
        <v>1654.1</v>
      </c>
      <c r="F15" s="24">
        <f>SUMIF(Labor_Detail!$A:$A,A15,Labor_Detail!$C:$C)</f>
        <v>24</v>
      </c>
    </row>
    <row r="16" ht="16.5" customHeight="1">
      <c r="A16" s="7" t="s">
        <v>93</v>
      </c>
      <c r="B16" s="19">
        <f>SUMIF(Labor_Detail!$A:$A,A16,Labor_Detail!$E:$E)</f>
        <v>1629.6</v>
      </c>
      <c r="C16" s="19">
        <f>SUMIF(Material_Detail!$A:$A,A16,Material_Detail!$H:$H)</f>
        <v>1713.05</v>
      </c>
      <c r="D16" s="19">
        <f>SUMIF(Equipment_Detail!$A:$A,A16,Equipment_Detail!$F:$F)</f>
        <v>0</v>
      </c>
      <c r="E16" s="19">
        <f t="shared" si="1"/>
        <v>3342.65</v>
      </c>
      <c r="F16" s="24">
        <f>SUMIF(Labor_Detail!$A:$A,A16,Labor_Detail!$C:$C)</f>
        <v>48</v>
      </c>
    </row>
    <row r="17" ht="16.5" customHeight="1">
      <c r="A17" s="7" t="s">
        <v>107</v>
      </c>
      <c r="B17" s="19">
        <f>SUMIF(Labor_Detail!$A:$A,A17,Labor_Detail!$E:$E)</f>
        <v>3367.5</v>
      </c>
      <c r="C17" s="19">
        <f>SUMIF(Material_Detail!$A:$A,A17,Material_Detail!$H:$H)</f>
        <v>4974.25</v>
      </c>
      <c r="D17" s="19">
        <f>SUMIF(Equipment_Detail!$A:$A,A17,Equipment_Detail!$F:$F)</f>
        <v>0</v>
      </c>
      <c r="E17" s="19">
        <f t="shared" si="1"/>
        <v>8341.75</v>
      </c>
      <c r="F17" s="24">
        <f>SUMIF(Labor_Detail!$A:$A,A17,Labor_Detail!$C:$C)</f>
        <v>98</v>
      </c>
    </row>
    <row r="18" ht="16.5" customHeight="1">
      <c r="A18" s="7" t="s">
        <v>121</v>
      </c>
      <c r="B18" s="19">
        <f>SUMIF(Labor_Detail!$A:$A,A18,Labor_Detail!$E:$E)</f>
        <v>1358</v>
      </c>
      <c r="C18" s="19">
        <f>SUMIF(Material_Detail!$A:$A,A18,Material_Detail!$H:$H)</f>
        <v>2302</v>
      </c>
      <c r="D18" s="19">
        <f>SUMIF(Equipment_Detail!$A:$A,A18,Equipment_Detail!$F:$F)</f>
        <v>0</v>
      </c>
      <c r="E18" s="19">
        <f t="shared" si="1"/>
        <v>3660</v>
      </c>
      <c r="F18" s="24">
        <f>SUMIF(Labor_Detail!$A:$A,A18,Labor_Detail!$C:$C)</f>
        <v>40</v>
      </c>
    </row>
    <row r="19" ht="16.5" customHeight="1">
      <c r="A19" s="7" t="s">
        <v>134</v>
      </c>
      <c r="B19" s="19">
        <f>SUMIF(Labor_Detail!$A:$A,A19,Labor_Detail!$E:$E)</f>
        <v>234</v>
      </c>
      <c r="C19" s="19">
        <f>SUMIF(Material_Detail!$A:$A,A19,Material_Detail!$H:$H)</f>
        <v>95</v>
      </c>
      <c r="D19" s="19">
        <f>SUMIF(Equipment_Detail!$A:$A,A19,Equipment_Detail!$F:$F)</f>
        <v>0</v>
      </c>
      <c r="E19" s="19">
        <f t="shared" si="1"/>
        <v>329</v>
      </c>
      <c r="F19" s="24">
        <f>SUMIF(Labor_Detail!$A:$A,A19,Labor_Detail!$C:$C)</f>
        <v>6</v>
      </c>
    </row>
    <row r="20" ht="16.5" customHeight="1">
      <c r="A20" s="7" t="s">
        <v>138</v>
      </c>
      <c r="B20" s="19">
        <f>SUMIF(Labor_Detail!$A:$A,A20,Labor_Detail!$E:$E)</f>
        <v>417.5</v>
      </c>
      <c r="C20" s="19">
        <f>SUMIF(Material_Detail!$A:$A,A20,Material_Detail!$H:$H)</f>
        <v>65</v>
      </c>
      <c r="D20" s="19">
        <f>SUMIF(Equipment_Detail!$A:$A,A20,Equipment_Detail!$F:$F)</f>
        <v>0</v>
      </c>
      <c r="E20" s="19">
        <f t="shared" si="1"/>
        <v>482.5</v>
      </c>
      <c r="F20" s="24">
        <f>SUMIF(Labor_Detail!$A:$A,A20,Labor_Detail!$C:$C)</f>
        <v>12</v>
      </c>
    </row>
    <row r="21" ht="16.5" customHeight="1">
      <c r="A21" s="7" t="s">
        <v>53</v>
      </c>
      <c r="B21" s="19">
        <f>SUMIF(Labor_Detail!$A:$A,A21,Labor_Detail!$E:$E)</f>
        <v>0</v>
      </c>
      <c r="C21" s="19">
        <f>SUMIF(Material_Detail!$A:$A,A21,Material_Detail!$H:$H)</f>
        <v>0</v>
      </c>
      <c r="D21" s="19">
        <f>SUMIF(Equipment_Detail!$A:$A,A21,Equipment_Detail!$F:$F)</f>
        <v>0</v>
      </c>
      <c r="E21" s="19">
        <f t="shared" si="1"/>
        <v>0</v>
      </c>
      <c r="F21" s="24">
        <f>SUMIF(Labor_Detail!$A:$A,A21,Labor_Detail!$C:$C)</f>
        <v>0</v>
      </c>
    </row>
    <row r="22" ht="16.5" customHeight="1">
      <c r="A22" s="7" t="s">
        <v>53</v>
      </c>
      <c r="B22" s="19">
        <f>SUMIF(Labor_Detail!$A:$A,A22,Labor_Detail!$E:$E)</f>
        <v>0</v>
      </c>
      <c r="C22" s="19">
        <f>SUMIF(Material_Detail!$A:$A,A22,Material_Detail!$H:$H)</f>
        <v>0</v>
      </c>
      <c r="D22" s="19">
        <f>SUMIF(Equipment_Detail!$A:$A,A22,Equipment_Detail!$F:$F)</f>
        <v>0</v>
      </c>
      <c r="E22" s="19">
        <f t="shared" si="1"/>
        <v>0</v>
      </c>
      <c r="F22" s="24">
        <f>SUMIF(Labor_Detail!$A:$A,A22,Labor_Detail!$C:$C)</f>
        <v>0</v>
      </c>
    </row>
    <row r="23" ht="16.5" customHeight="1">
      <c r="A23" s="7" t="s">
        <v>53</v>
      </c>
      <c r="B23" s="19">
        <f>SUMIF(Labor_Detail!$A:$A,A23,Labor_Detail!$E:$E)</f>
        <v>0</v>
      </c>
      <c r="C23" s="19">
        <f>SUMIF(Material_Detail!$A:$A,A23,Material_Detail!$H:$H)</f>
        <v>0</v>
      </c>
      <c r="D23" s="19">
        <f>SUMIF(Equipment_Detail!$A:$A,A23,Equipment_Detail!$F:$F)</f>
        <v>0</v>
      </c>
      <c r="E23" s="19">
        <f t="shared" si="1"/>
        <v>0</v>
      </c>
      <c r="F23" s="24">
        <f>SUMIF(Labor_Detail!$A:$A,A23,Labor_Detail!$C:$C)</f>
        <v>0</v>
      </c>
    </row>
    <row r="24" ht="16.5" customHeight="1">
      <c r="A24" s="7" t="s">
        <v>53</v>
      </c>
      <c r="B24" s="19">
        <f>SUMIF(Labor_Detail!$A:$A,A24,Labor_Detail!$E:$E)</f>
        <v>0</v>
      </c>
      <c r="C24" s="19">
        <f>SUMIF(Material_Detail!$A:$A,A24,Material_Detail!$H:$H)</f>
        <v>0</v>
      </c>
      <c r="D24" s="19">
        <f>SUMIF(Equipment_Detail!$A:$A,A24,Equipment_Detail!$F:$F)</f>
        <v>0</v>
      </c>
      <c r="E24" s="19">
        <f t="shared" si="1"/>
        <v>0</v>
      </c>
      <c r="F24" s="24">
        <f>SUMIF(Labor_Detail!$A:$A,A24,Labor_Detail!$C:$C)</f>
        <v>0</v>
      </c>
    </row>
    <row r="25" ht="16.5" customHeight="1">
      <c r="A25" s="7" t="s">
        <v>53</v>
      </c>
      <c r="B25" s="19">
        <f>SUMIF(Labor_Detail!$A:$A,A25,Labor_Detail!$E:$E)</f>
        <v>0</v>
      </c>
      <c r="C25" s="19">
        <f>SUMIF(Material_Detail!$A:$A,A25,Material_Detail!$H:$H)</f>
        <v>0</v>
      </c>
      <c r="D25" s="19">
        <f>SUMIF(Equipment_Detail!$A:$A,A25,Equipment_Detail!$F:$F)</f>
        <v>0</v>
      </c>
      <c r="E25" s="19">
        <f t="shared" si="1"/>
        <v>0</v>
      </c>
      <c r="F25" s="24">
        <f>SUMIF(Labor_Detail!$A:$A,A25,Labor_Detail!$C:$C)</f>
        <v>0</v>
      </c>
    </row>
    <row r="26" ht="16.5" customHeight="1">
      <c r="A26" s="7" t="s">
        <v>53</v>
      </c>
      <c r="B26" s="19">
        <f>SUMIF(Labor_Detail!$A:$A,A26,Labor_Detail!$E:$E)</f>
        <v>0</v>
      </c>
      <c r="C26" s="19">
        <f>SUMIF(Material_Detail!$A:$A,A26,Material_Detail!$H:$H)</f>
        <v>0</v>
      </c>
      <c r="D26" s="19">
        <f>SUMIF(Equipment_Detail!$A:$A,A26,Equipment_Detail!$F:$F)</f>
        <v>0</v>
      </c>
      <c r="E26" s="19">
        <f t="shared" si="1"/>
        <v>0</v>
      </c>
      <c r="F26" s="24">
        <f>SUMIF(Labor_Detail!$A:$A,A26,Labor_Detail!$C:$C)</f>
        <v>0</v>
      </c>
    </row>
    <row r="27" ht="16.5" customHeight="1">
      <c r="A27" s="7" t="s">
        <v>53</v>
      </c>
      <c r="B27" s="19">
        <f>SUMIF(Labor_Detail!$A:$A,A27,Labor_Detail!$E:$E)</f>
        <v>0</v>
      </c>
      <c r="C27" s="19">
        <f>SUMIF(Material_Detail!$A:$A,A27,Material_Detail!$H:$H)</f>
        <v>0</v>
      </c>
      <c r="D27" s="19">
        <f>SUMIF(Equipment_Detail!$A:$A,A27,Equipment_Detail!$F:$F)</f>
        <v>0</v>
      </c>
      <c r="E27" s="19">
        <f t="shared" si="1"/>
        <v>0</v>
      </c>
      <c r="F27" s="24">
        <f>SUMIF(Labor_Detail!$A:$A,A27,Labor_Detail!$C:$C)</f>
        <v>0</v>
      </c>
    </row>
    <row r="28" ht="16.5" customHeight="1">
      <c r="A28" s="4" t="s">
        <v>53</v>
      </c>
      <c r="B28" s="28">
        <f>SUMIF(Labor_Detail!$A:$A,A28,Labor_Detail!$E:$E)</f>
        <v>0</v>
      </c>
      <c r="C28" s="28">
        <f>SUMIF(Material_Detail!$A:$A,A28,Material_Detail!$H:$H)</f>
        <v>0</v>
      </c>
      <c r="D28" s="28">
        <f>SUMIF(Equipment_Detail!$A:$A,A28,Equipment_Detail!$F:$F)</f>
        <v>0</v>
      </c>
      <c r="E28" s="28">
        <f t="shared" si="1"/>
        <v>0</v>
      </c>
      <c r="F28" s="29">
        <f>SUMIF(Labor_Detail!$A:$A,A28,Labor_Detail!$C:$C)</f>
        <v>0</v>
      </c>
    </row>
    <row r="29" ht="16.5" customHeight="1">
      <c r="A29" s="4" t="s">
        <v>53</v>
      </c>
      <c r="B29" s="28">
        <f>SUMIF(Labor_Detail!$A:$A,A29,Labor_Detail!$E:$E)</f>
        <v>0</v>
      </c>
      <c r="C29" s="28">
        <f>SUMIF(Material_Detail!$A:$A,A29,Material_Detail!$H:$H)</f>
        <v>0</v>
      </c>
      <c r="D29" s="28">
        <f>SUMIF(Equipment_Detail!$A:$A,A29,Equipment_Detail!$F:$F)</f>
        <v>0</v>
      </c>
      <c r="E29" s="28">
        <f t="shared" si="1"/>
        <v>0</v>
      </c>
      <c r="F29" s="29">
        <f>SUMIF(Labor_Detail!$A:$A,A29,Labor_Detail!$C:$C)</f>
        <v>0</v>
      </c>
    </row>
    <row r="30" ht="16.5" customHeight="1">
      <c r="A30" s="4" t="s">
        <v>53</v>
      </c>
      <c r="B30" s="28">
        <f>SUMIF(Labor_Detail!$A:$A,A30,Labor_Detail!$E:$E)</f>
        <v>0</v>
      </c>
      <c r="C30" s="28">
        <f>SUMIF(Material_Detail!$A:$A,A30,Material_Detail!$H:$H)</f>
        <v>0</v>
      </c>
      <c r="D30" s="28">
        <f>SUMIF(Equipment_Detail!$A:$A,A30,Equipment_Detail!$F:$F)</f>
        <v>0</v>
      </c>
      <c r="E30" s="28">
        <f t="shared" si="1"/>
        <v>0</v>
      </c>
      <c r="F30" s="29">
        <f>SUMIF(Labor_Detail!$A:$A,A30,Labor_Detail!$C:$C)</f>
        <v>0</v>
      </c>
    </row>
    <row r="31" ht="16.5" customHeight="1">
      <c r="A31" s="4" t="s">
        <v>53</v>
      </c>
      <c r="B31" s="28">
        <f>SUMIF(Labor_Detail!$A:$A,A31,Labor_Detail!$E:$E)</f>
        <v>0</v>
      </c>
      <c r="C31" s="28">
        <f>SUMIF(Material_Detail!$A:$A,A31,Material_Detail!$H:$H)</f>
        <v>0</v>
      </c>
      <c r="D31" s="28">
        <f>SUMIF(Equipment_Detail!$A:$A,A31,Equipment_Detail!$F:$F)</f>
        <v>0</v>
      </c>
      <c r="E31" s="28">
        <f t="shared" si="1"/>
        <v>0</v>
      </c>
      <c r="F31" s="29">
        <f>SUMIF(Labor_Detail!$A:$A,A31,Labor_Detail!$C:$C)</f>
        <v>0</v>
      </c>
    </row>
    <row r="32" ht="16.5" customHeight="1">
      <c r="A32" s="4" t="s">
        <v>53</v>
      </c>
      <c r="B32" s="28">
        <f>SUMIF(Labor_Detail!$A:$A,A32,Labor_Detail!$E:$E)</f>
        <v>0</v>
      </c>
      <c r="C32" s="28">
        <f>SUMIF(Material_Detail!$A:$A,A32,Material_Detail!$H:$H)</f>
        <v>0</v>
      </c>
      <c r="D32" s="28">
        <f>SUMIF(Equipment_Detail!$A:$A,A32,Equipment_Detail!$F:$F)</f>
        <v>0</v>
      </c>
      <c r="E32" s="28">
        <f t="shared" si="1"/>
        <v>0</v>
      </c>
      <c r="F32" s="29">
        <f>SUMIF(Labor_Detail!$A:$A,A32,Labor_Detail!$C:$C)</f>
        <v>0</v>
      </c>
    </row>
    <row r="33" ht="16.5" customHeight="1">
      <c r="A33" s="4" t="s">
        <v>53</v>
      </c>
      <c r="B33" s="28">
        <f>SUMIF(Labor_Detail!$A:$A,A33,Labor_Detail!$E:$E)</f>
        <v>0</v>
      </c>
      <c r="C33" s="28">
        <f>SUMIF(Material_Detail!$A:$A,A33,Material_Detail!$H:$H)</f>
        <v>0</v>
      </c>
      <c r="D33" s="28">
        <f>SUMIF(Equipment_Detail!$A:$A,A33,Equipment_Detail!$F:$F)</f>
        <v>0</v>
      </c>
      <c r="E33" s="28">
        <f t="shared" si="1"/>
        <v>0</v>
      </c>
      <c r="F33" s="29">
        <f>SUMIF(Labor_Detail!$A:$A,A33,Labor_Detail!$C:$C)</f>
        <v>0</v>
      </c>
    </row>
    <row r="34" ht="16.5" customHeight="1">
      <c r="A34" s="4" t="s">
        <v>53</v>
      </c>
      <c r="B34" s="28">
        <f>SUMIF(Labor_Detail!$A:$A,A34,Labor_Detail!$E:$E)</f>
        <v>0</v>
      </c>
      <c r="C34" s="28">
        <f>SUMIF(Material_Detail!$A:$A,A34,Material_Detail!$H:$H)</f>
        <v>0</v>
      </c>
      <c r="D34" s="28">
        <f>SUMIF(Equipment_Detail!$A:$A,A34,Equipment_Detail!$F:$F)</f>
        <v>0</v>
      </c>
      <c r="E34" s="28">
        <f t="shared" si="1"/>
        <v>0</v>
      </c>
      <c r="F34" s="29">
        <f>SUMIF(Labor_Detail!$A:$A,A34,Labor_Detail!$C:$C)</f>
        <v>0</v>
      </c>
    </row>
    <row r="35" ht="16.5" customHeight="1">
      <c r="A35" s="4" t="s">
        <v>53</v>
      </c>
      <c r="B35" s="28">
        <f>SUMIF(Labor_Detail!$A:$A,A35,Labor_Detail!$E:$E)</f>
        <v>0</v>
      </c>
      <c r="C35" s="28">
        <f>SUMIF(Material_Detail!$A:$A,A35,Material_Detail!$H:$H)</f>
        <v>0</v>
      </c>
      <c r="D35" s="28">
        <f>SUMIF(Equipment_Detail!$A:$A,A35,Equipment_Detail!$F:$F)</f>
        <v>0</v>
      </c>
      <c r="E35" s="28">
        <f t="shared" si="1"/>
        <v>0</v>
      </c>
      <c r="F35" s="29">
        <f>SUMIF(Labor_Detail!$A:$A,A35,Labor_Detail!$C:$C)</f>
        <v>0</v>
      </c>
    </row>
    <row r="36" ht="16.5" customHeight="1">
      <c r="A36" s="4" t="s">
        <v>53</v>
      </c>
      <c r="B36" s="28">
        <f>SUMIF(Labor_Detail!$A:$A,A36,Labor_Detail!$E:$E)</f>
        <v>0</v>
      </c>
      <c r="C36" s="28">
        <f>SUMIF(Material_Detail!$A:$A,A36,Material_Detail!$H:$H)</f>
        <v>0</v>
      </c>
      <c r="D36" s="28">
        <f>SUMIF(Equipment_Detail!$A:$A,A36,Equipment_Detail!$F:$F)</f>
        <v>0</v>
      </c>
      <c r="E36" s="28">
        <f t="shared" si="1"/>
        <v>0</v>
      </c>
      <c r="F36" s="29">
        <f>SUMIF(Labor_Detail!$A:$A,A36,Labor_Detail!$C:$C)</f>
        <v>0</v>
      </c>
    </row>
    <row r="37" ht="16.5" customHeight="1">
      <c r="A37" s="4" t="s">
        <v>53</v>
      </c>
      <c r="B37" s="28">
        <f>SUMIF(Labor_Detail!$A:$A,A37,Labor_Detail!$E:$E)</f>
        <v>0</v>
      </c>
      <c r="C37" s="28">
        <f>SUMIF(Material_Detail!$A:$A,A37,Material_Detail!$H:$H)</f>
        <v>0</v>
      </c>
      <c r="D37" s="28">
        <f>SUMIF(Equipment_Detail!$A:$A,A37,Equipment_Detail!$F:$F)</f>
        <v>0</v>
      </c>
      <c r="E37" s="28">
        <f t="shared" si="1"/>
        <v>0</v>
      </c>
      <c r="F37" s="29">
        <f>SUMIF(Labor_Detail!$A:$A,A37,Labor_Detail!$C:$C)</f>
        <v>0</v>
      </c>
    </row>
    <row r="38" ht="16.5" customHeight="1">
      <c r="A38" s="4" t="s">
        <v>53</v>
      </c>
      <c r="B38" s="28">
        <f>SUMIF(Labor_Detail!$A:$A,A38,Labor_Detail!$E:$E)</f>
        <v>0</v>
      </c>
      <c r="C38" s="28">
        <f>SUMIF(Material_Detail!$A:$A,A38,Material_Detail!$H:$H)</f>
        <v>0</v>
      </c>
      <c r="D38" s="28">
        <f>SUMIF(Equipment_Detail!$A:$A,A38,Equipment_Detail!$F:$F)</f>
        <v>0</v>
      </c>
      <c r="E38" s="28">
        <f t="shared" si="1"/>
        <v>0</v>
      </c>
      <c r="F38" s="29">
        <f>SUMIF(Labor_Detail!$A:$A,A38,Labor_Detail!$C:$C)</f>
        <v>0</v>
      </c>
    </row>
    <row r="39" ht="16.5" customHeight="1">
      <c r="A39" s="4" t="s">
        <v>53</v>
      </c>
      <c r="B39" s="28">
        <f>SUMIF(Labor_Detail!$A:$A,A39,Labor_Detail!$E:$E)</f>
        <v>0</v>
      </c>
      <c r="C39" s="28">
        <f>SUMIF(Material_Detail!$A:$A,A39,Material_Detail!$H:$H)</f>
        <v>0</v>
      </c>
      <c r="D39" s="28">
        <f>SUMIF(Equipment_Detail!$A:$A,A39,Equipment_Detail!$F:$F)</f>
        <v>0</v>
      </c>
      <c r="E39" s="28">
        <f t="shared" si="1"/>
        <v>0</v>
      </c>
      <c r="F39" s="29">
        <f>SUMIF(Labor_Detail!$A:$A,A39,Labor_Detail!$C:$C)</f>
        <v>0</v>
      </c>
    </row>
    <row r="40" ht="16.5" customHeight="1">
      <c r="A40" s="4" t="s">
        <v>53</v>
      </c>
      <c r="B40" s="28">
        <f>SUMIF(Labor_Detail!$A:$A,A40,Labor_Detail!$E:$E)</f>
        <v>0</v>
      </c>
      <c r="C40" s="28">
        <f>SUMIF(Material_Detail!$A:$A,A40,Material_Detail!$H:$H)</f>
        <v>0</v>
      </c>
      <c r="D40" s="28">
        <f>SUMIF(Equipment_Detail!$A:$A,A40,Equipment_Detail!$F:$F)</f>
        <v>0</v>
      </c>
      <c r="E40" s="28">
        <f t="shared" si="1"/>
        <v>0</v>
      </c>
      <c r="F40" s="29">
        <f>SUMIF(Labor_Detail!$A:$A,A40,Labor_Detail!$C:$C)</f>
        <v>0</v>
      </c>
    </row>
    <row r="41" ht="16.5" customHeight="1">
      <c r="A41" s="31" t="s">
        <v>150</v>
      </c>
      <c r="B41" s="32">
        <f t="shared" ref="B41:F41" si="2">SUM(B11:B40)</f>
        <v>13652.66</v>
      </c>
      <c r="C41" s="32">
        <f t="shared" si="2"/>
        <v>13809.91</v>
      </c>
      <c r="D41" s="32">
        <f t="shared" si="2"/>
        <v>535</v>
      </c>
      <c r="E41" s="32">
        <f t="shared" si="2"/>
        <v>27997.57</v>
      </c>
      <c r="F41" s="33">
        <f t="shared" si="2"/>
        <v>390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J1:K1"/>
  </mergeCells>
  <conditionalFormatting sqref="B11:D2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20.0"/>
    <col customWidth="1" min="3" max="5" width="12.0"/>
    <col customWidth="1" min="6" max="6" width="42.0"/>
    <col customWidth="1" min="7" max="7" width="18.0"/>
    <col customWidth="1" min="8" max="26" width="8.63"/>
  </cols>
  <sheetData>
    <row r="1" ht="16.5" customHeight="1">
      <c r="A1" s="1" t="s">
        <v>0</v>
      </c>
      <c r="B1" s="1" t="s">
        <v>9</v>
      </c>
      <c r="C1" s="1" t="s">
        <v>11</v>
      </c>
      <c r="D1" s="1" t="s">
        <v>13</v>
      </c>
      <c r="E1" s="1" t="s">
        <v>14</v>
      </c>
      <c r="F1" s="1" t="s">
        <v>7</v>
      </c>
      <c r="G1" s="6" t="s">
        <v>17</v>
      </c>
    </row>
    <row r="2" ht="16.5" customHeight="1">
      <c r="A2" s="7" t="s">
        <v>18</v>
      </c>
      <c r="B2" s="7" t="s">
        <v>22</v>
      </c>
      <c r="C2" s="10">
        <v>18.0</v>
      </c>
      <c r="D2" s="19">
        <f t="array" ref="D2">IF(OR($A2="",$G2=""),"",_xlfn.XLOOKUP($G2,Labor_Rates!$A$3:$A$7,Labor_Rates!$B$3:$B$7,""))</f>
        <v>47.87</v>
      </c>
      <c r="E2" s="19">
        <f t="shared" ref="E2:E300" si="1">IF(OR($A2="",$C2="",$D2=""),"",$C2*$D2)</f>
        <v>861.66</v>
      </c>
      <c r="F2" s="7" t="s">
        <v>59</v>
      </c>
      <c r="G2" s="4" t="s">
        <v>22</v>
      </c>
    </row>
    <row r="3" ht="16.5" customHeight="1">
      <c r="A3" s="7" t="s">
        <v>18</v>
      </c>
      <c r="B3" s="7" t="s">
        <v>64</v>
      </c>
      <c r="C3" s="10">
        <v>8.0</v>
      </c>
      <c r="D3" s="19">
        <f t="array" ref="D3">IF(OR($A3="",$G3=""),"",_xlfn.XLOOKUP($G3,Labor_Rates!$A$3:$A$7,Labor_Rates!$B$3:$B$7,""))</f>
        <v>39</v>
      </c>
      <c r="E3" s="19">
        <f t="shared" si="1"/>
        <v>312</v>
      </c>
      <c r="F3" s="7" t="s">
        <v>68</v>
      </c>
      <c r="G3" s="4" t="s">
        <v>64</v>
      </c>
    </row>
    <row r="4" ht="16.5" customHeight="1">
      <c r="A4" s="7" t="s">
        <v>18</v>
      </c>
      <c r="B4" s="7" t="s">
        <v>71</v>
      </c>
      <c r="C4" s="24">
        <v>4.0</v>
      </c>
      <c r="D4" s="19">
        <f t="array" ref="D4">IF(OR($A4="",$G4=""),"",_xlfn.XLOOKUP($G4,Labor_Rates!$A$3:$A$7,Labor_Rates!$B$3:$B$7,""))</f>
        <v>33.95</v>
      </c>
      <c r="E4" s="19">
        <f t="shared" si="1"/>
        <v>135.8</v>
      </c>
      <c r="F4" s="7" t="s">
        <v>77</v>
      </c>
      <c r="G4" s="4" t="s">
        <v>71</v>
      </c>
    </row>
    <row r="5" ht="16.5" customHeight="1">
      <c r="A5" s="7" t="s">
        <v>21</v>
      </c>
      <c r="B5" s="7" t="s">
        <v>71</v>
      </c>
      <c r="C5" s="10">
        <v>20.0</v>
      </c>
      <c r="D5" s="19">
        <f t="array" ref="D5">IF(OR($A5="",$G5=""),"",_xlfn.XLOOKUP($G5,Labor_Rates!$A$3:$A$7,Labor_Rates!$B$3:$B$7,""))</f>
        <v>33.95</v>
      </c>
      <c r="E5" s="19">
        <f t="shared" si="1"/>
        <v>679</v>
      </c>
      <c r="F5" s="7" t="s">
        <v>83</v>
      </c>
      <c r="G5" s="4" t="s">
        <v>71</v>
      </c>
    </row>
    <row r="6" ht="16.5" customHeight="1">
      <c r="A6" s="7" t="s">
        <v>36</v>
      </c>
      <c r="B6" s="7" t="s">
        <v>64</v>
      </c>
      <c r="C6" s="24">
        <v>2.0</v>
      </c>
      <c r="D6" s="19">
        <f t="array" ref="D6">IF(OR($A6="",$G6=""),"",_xlfn.XLOOKUP($G6,Labor_Rates!$A$3:$A$7,Labor_Rates!$B$3:$B$7,""))</f>
        <v>39</v>
      </c>
      <c r="E6" s="19">
        <f t="shared" si="1"/>
        <v>78</v>
      </c>
      <c r="F6" s="7" t="s">
        <v>96</v>
      </c>
      <c r="G6" s="4" t="s">
        <v>64</v>
      </c>
    </row>
    <row r="7" ht="16.5" customHeight="1">
      <c r="A7" s="7" t="s">
        <v>36</v>
      </c>
      <c r="B7" s="7" t="s">
        <v>71</v>
      </c>
      <c r="C7" s="24">
        <v>40.0</v>
      </c>
      <c r="D7" s="19">
        <f t="array" ref="D7">IF(OR($A7="",$G7=""),"",_xlfn.XLOOKUP($G7,Labor_Rates!$A$3:$A$7,Labor_Rates!$B$3:$B$7,""))</f>
        <v>33.95</v>
      </c>
      <c r="E7" s="19">
        <f t="shared" si="1"/>
        <v>1358</v>
      </c>
      <c r="F7" s="7" t="s">
        <v>110</v>
      </c>
      <c r="G7" s="4" t="s">
        <v>71</v>
      </c>
    </row>
    <row r="8" ht="16.5" customHeight="1">
      <c r="A8" s="7" t="s">
        <v>67</v>
      </c>
      <c r="B8" s="7" t="s">
        <v>64</v>
      </c>
      <c r="C8" s="24">
        <v>6.0</v>
      </c>
      <c r="D8" s="19">
        <f t="array" ref="D8">IF(OR($A8="",$G8=""),"",_xlfn.XLOOKUP($G8,Labor_Rates!$A$3:$A$7,Labor_Rates!$B$3:$B$7,""))</f>
        <v>39</v>
      </c>
      <c r="E8" s="19">
        <f t="shared" si="1"/>
        <v>234</v>
      </c>
      <c r="F8" s="7" t="s">
        <v>120</v>
      </c>
      <c r="G8" s="4" t="s">
        <v>64</v>
      </c>
    </row>
    <row r="9" ht="16.5" customHeight="1">
      <c r="A9" s="7" t="s">
        <v>67</v>
      </c>
      <c r="B9" s="7" t="s">
        <v>71</v>
      </c>
      <c r="C9" s="24">
        <v>64.0</v>
      </c>
      <c r="D9" s="19">
        <f t="array" ref="D9">IF(OR($A9="",$G9=""),"",_xlfn.XLOOKUP($G9,Labor_Rates!$A$3:$A$7,Labor_Rates!$B$3:$B$7,""))</f>
        <v>33.95</v>
      </c>
      <c r="E9" s="19">
        <f t="shared" si="1"/>
        <v>2172.8</v>
      </c>
      <c r="F9" s="7" t="s">
        <v>131</v>
      </c>
      <c r="G9" s="4" t="s">
        <v>71</v>
      </c>
    </row>
    <row r="10" ht="16.5" customHeight="1">
      <c r="A10" s="7" t="s">
        <v>84</v>
      </c>
      <c r="B10" s="7" t="s">
        <v>71</v>
      </c>
      <c r="C10" s="24">
        <v>24.0</v>
      </c>
      <c r="D10" s="19">
        <f t="array" ref="D10">IF(OR($A10="",$G10=""),"",_xlfn.XLOOKUP($G10,Labor_Rates!$A$3:$A$7,Labor_Rates!$B$3:$B$7,""))</f>
        <v>33.95</v>
      </c>
      <c r="E10" s="19">
        <f t="shared" si="1"/>
        <v>814.8</v>
      </c>
      <c r="F10" s="7" t="s">
        <v>141</v>
      </c>
      <c r="G10" s="4" t="s">
        <v>71</v>
      </c>
    </row>
    <row r="11" ht="16.5" customHeight="1">
      <c r="A11" s="7" t="s">
        <v>93</v>
      </c>
      <c r="B11" s="7" t="s">
        <v>71</v>
      </c>
      <c r="C11" s="24">
        <v>48.0</v>
      </c>
      <c r="D11" s="19">
        <f t="array" ref="D11">IF(OR($A11="",$G11=""),"",_xlfn.XLOOKUP($G11,Labor_Rates!$A$3:$A$7,Labor_Rates!$B$3:$B$7,""))</f>
        <v>33.95</v>
      </c>
      <c r="E11" s="19">
        <f t="shared" si="1"/>
        <v>1629.6</v>
      </c>
      <c r="F11" s="7" t="s">
        <v>142</v>
      </c>
      <c r="G11" s="4" t="s">
        <v>71</v>
      </c>
    </row>
    <row r="12" ht="16.5" customHeight="1">
      <c r="A12" s="7" t="s">
        <v>107</v>
      </c>
      <c r="B12" s="7" t="s">
        <v>64</v>
      </c>
      <c r="C12" s="24">
        <v>8.0</v>
      </c>
      <c r="D12" s="19">
        <f t="array" ref="D12">IF(OR($A12="",$G12=""),"",_xlfn.XLOOKUP($G12,Labor_Rates!$A$3:$A$7,Labor_Rates!$B$3:$B$7,""))</f>
        <v>39</v>
      </c>
      <c r="E12" s="19">
        <f t="shared" si="1"/>
        <v>312</v>
      </c>
      <c r="F12" s="7" t="s">
        <v>143</v>
      </c>
      <c r="G12" s="4" t="s">
        <v>64</v>
      </c>
    </row>
    <row r="13" ht="16.5" customHeight="1">
      <c r="A13" s="7" t="s">
        <v>107</v>
      </c>
      <c r="B13" s="7" t="s">
        <v>71</v>
      </c>
      <c r="C13" s="24">
        <v>90.0</v>
      </c>
      <c r="D13" s="19">
        <f t="array" ref="D13">IF(OR($A13="",$G13=""),"",_xlfn.XLOOKUP($G13,Labor_Rates!$A$3:$A$7,Labor_Rates!$B$3:$B$7,""))</f>
        <v>33.95</v>
      </c>
      <c r="E13" s="19">
        <f t="shared" si="1"/>
        <v>3055.5</v>
      </c>
      <c r="F13" s="7" t="s">
        <v>144</v>
      </c>
      <c r="G13" s="4" t="s">
        <v>71</v>
      </c>
    </row>
    <row r="14" ht="16.5" customHeight="1">
      <c r="A14" s="7" t="s">
        <v>121</v>
      </c>
      <c r="B14" s="7" t="s">
        <v>71</v>
      </c>
      <c r="C14" s="24">
        <v>40.0</v>
      </c>
      <c r="D14" s="19">
        <f t="array" ref="D14">IF(OR($A14="",$G14=""),"",_xlfn.XLOOKUP($G14,Labor_Rates!$A$3:$A$7,Labor_Rates!$B$3:$B$7,""))</f>
        <v>33.95</v>
      </c>
      <c r="E14" s="19">
        <f t="shared" si="1"/>
        <v>1358</v>
      </c>
      <c r="F14" s="7" t="s">
        <v>145</v>
      </c>
      <c r="G14" s="4" t="s">
        <v>71</v>
      </c>
    </row>
    <row r="15" ht="16.5" customHeight="1">
      <c r="A15" s="7" t="s">
        <v>134</v>
      </c>
      <c r="B15" s="7" t="s">
        <v>146</v>
      </c>
      <c r="C15" s="24">
        <v>6.0</v>
      </c>
      <c r="D15" s="19">
        <f t="array" ref="D15">IF(OR($A15="",$G15=""),"",_xlfn.XLOOKUP($G15,Labor_Rates!$A$3:$A$7,Labor_Rates!$B$3:$B$7,""))</f>
        <v>39</v>
      </c>
      <c r="E15" s="19">
        <f t="shared" si="1"/>
        <v>234</v>
      </c>
      <c r="F15" s="7" t="s">
        <v>147</v>
      </c>
      <c r="G15" s="4" t="s">
        <v>146</v>
      </c>
    </row>
    <row r="16" ht="16.5" customHeight="1">
      <c r="A16" s="7" t="s">
        <v>138</v>
      </c>
      <c r="B16" s="7" t="s">
        <v>64</v>
      </c>
      <c r="C16" s="24">
        <v>2.0</v>
      </c>
      <c r="D16" s="19">
        <f t="array" ref="D16">IF(OR($A16="",$G16=""),"",_xlfn.XLOOKUP($G16,Labor_Rates!$A$3:$A$7,Labor_Rates!$B$3:$B$7,""))</f>
        <v>39</v>
      </c>
      <c r="E16" s="19">
        <f t="shared" si="1"/>
        <v>78</v>
      </c>
      <c r="F16" s="7" t="s">
        <v>148</v>
      </c>
      <c r="G16" s="4" t="s">
        <v>64</v>
      </c>
    </row>
    <row r="17" ht="16.5" customHeight="1">
      <c r="A17" s="7" t="s">
        <v>138</v>
      </c>
      <c r="B17" s="7" t="s">
        <v>71</v>
      </c>
      <c r="C17" s="24">
        <v>10.0</v>
      </c>
      <c r="D17" s="19">
        <f t="array" ref="D17">IF(OR($A17="",$G17=""),"",_xlfn.XLOOKUP($G17,Labor_Rates!$A$3:$A$7,Labor_Rates!$B$3:$B$7,""))</f>
        <v>33.95</v>
      </c>
      <c r="E17" s="19">
        <f t="shared" si="1"/>
        <v>339.5</v>
      </c>
      <c r="F17" s="7" t="s">
        <v>149</v>
      </c>
      <c r="G17" s="4" t="s">
        <v>71</v>
      </c>
    </row>
    <row r="18" ht="16.5" customHeight="1">
      <c r="A18" s="7" t="s">
        <v>53</v>
      </c>
      <c r="B18" s="7" t="s">
        <v>71</v>
      </c>
      <c r="C18" s="24">
        <v>0.0</v>
      </c>
      <c r="D18" s="19">
        <f t="array" ref="D18">IF(OR($A18="",$G18=""),"",_xlfn.XLOOKUP($G18,Labor_Rates!$A$3:$A$7,Labor_Rates!$B$3:$B$7,""))</f>
        <v>33.95</v>
      </c>
      <c r="E18" s="19">
        <f t="shared" si="1"/>
        <v>0</v>
      </c>
      <c r="F18" s="7" t="s">
        <v>53</v>
      </c>
      <c r="G18" s="4" t="s">
        <v>71</v>
      </c>
    </row>
    <row r="19" ht="16.5" customHeight="1">
      <c r="A19" s="7" t="s">
        <v>53</v>
      </c>
      <c r="B19" s="7" t="s">
        <v>71</v>
      </c>
      <c r="C19" s="24">
        <v>0.0</v>
      </c>
      <c r="D19" s="19">
        <f t="array" ref="D19">IF(OR($A19="",$G19=""),"",_xlfn.XLOOKUP($G19,Labor_Rates!$A$3:$A$7,Labor_Rates!$B$3:$B$7,""))</f>
        <v>33.95</v>
      </c>
      <c r="E19" s="19">
        <f t="shared" si="1"/>
        <v>0</v>
      </c>
      <c r="F19" s="7" t="s">
        <v>53</v>
      </c>
      <c r="G19" s="4" t="s">
        <v>71</v>
      </c>
    </row>
    <row r="20" ht="16.5" customHeight="1">
      <c r="A20" s="7" t="s">
        <v>53</v>
      </c>
      <c r="B20" s="7" t="s">
        <v>71</v>
      </c>
      <c r="C20" s="24">
        <v>0.0</v>
      </c>
      <c r="D20" s="19">
        <f t="array" ref="D20">IF(OR($A20="",$G20=""),"",_xlfn.XLOOKUP($G20,Labor_Rates!$A$3:$A$7,Labor_Rates!$B$3:$B$7,""))</f>
        <v>33.95</v>
      </c>
      <c r="E20" s="19">
        <f t="shared" si="1"/>
        <v>0</v>
      </c>
      <c r="F20" s="7" t="s">
        <v>53</v>
      </c>
      <c r="G20" s="4" t="s">
        <v>71</v>
      </c>
    </row>
    <row r="21" ht="16.5" customHeight="1">
      <c r="A21" s="7" t="s">
        <v>53</v>
      </c>
      <c r="B21" s="7" t="s">
        <v>71</v>
      </c>
      <c r="C21" s="24">
        <v>0.0</v>
      </c>
      <c r="D21" s="19">
        <f t="array" ref="D21">IF(OR($A21="",$G21=""),"",_xlfn.XLOOKUP($G21,Labor_Rates!$A$3:$A$7,Labor_Rates!$B$3:$B$7,""))</f>
        <v>33.95</v>
      </c>
      <c r="E21" s="19">
        <f t="shared" si="1"/>
        <v>0</v>
      </c>
      <c r="F21" s="7" t="s">
        <v>53</v>
      </c>
      <c r="G21" s="4" t="s">
        <v>71</v>
      </c>
    </row>
    <row r="22" ht="16.5" customHeight="1">
      <c r="A22" s="7" t="s">
        <v>53</v>
      </c>
      <c r="B22" s="7" t="s">
        <v>71</v>
      </c>
      <c r="C22" s="24">
        <v>0.0</v>
      </c>
      <c r="D22" s="19">
        <f t="array" ref="D22">IF(OR($A22="",$G22=""),"",_xlfn.XLOOKUP($G22,Labor_Rates!$A$3:$A$7,Labor_Rates!$B$3:$B$7,""))</f>
        <v>33.95</v>
      </c>
      <c r="E22" s="19">
        <f t="shared" si="1"/>
        <v>0</v>
      </c>
      <c r="F22" s="7" t="s">
        <v>53</v>
      </c>
      <c r="G22" s="4" t="s">
        <v>71</v>
      </c>
    </row>
    <row r="23" ht="16.5" customHeight="1">
      <c r="A23" s="7" t="s">
        <v>53</v>
      </c>
      <c r="B23" s="7" t="s">
        <v>71</v>
      </c>
      <c r="C23" s="24">
        <v>0.0</v>
      </c>
      <c r="D23" s="19">
        <f t="array" ref="D23">IF(OR($A23="",$G23=""),"",_xlfn.XLOOKUP($G23,Labor_Rates!$A$3:$A$7,Labor_Rates!$B$3:$B$7,""))</f>
        <v>33.95</v>
      </c>
      <c r="E23" s="19">
        <f t="shared" si="1"/>
        <v>0</v>
      </c>
      <c r="F23" s="7" t="s">
        <v>53</v>
      </c>
      <c r="G23" s="4" t="s">
        <v>71</v>
      </c>
    </row>
    <row r="24" ht="16.5" customHeight="1">
      <c r="A24" s="7" t="s">
        <v>53</v>
      </c>
      <c r="B24" s="7" t="s">
        <v>71</v>
      </c>
      <c r="C24" s="24">
        <v>0.0</v>
      </c>
      <c r="D24" s="19">
        <f t="array" ref="D24">IF(OR($A24="",$G24=""),"",_xlfn.XLOOKUP($G24,Labor_Rates!$A$3:$A$7,Labor_Rates!$B$3:$B$7,""))</f>
        <v>33.95</v>
      </c>
      <c r="E24" s="19">
        <f t="shared" si="1"/>
        <v>0</v>
      </c>
      <c r="F24" s="7" t="s">
        <v>53</v>
      </c>
      <c r="G24" s="4" t="s">
        <v>71</v>
      </c>
    </row>
    <row r="25" ht="16.5" customHeight="1">
      <c r="A25" s="7" t="s">
        <v>53</v>
      </c>
      <c r="B25" s="7" t="s">
        <v>71</v>
      </c>
      <c r="C25" s="24">
        <v>0.0</v>
      </c>
      <c r="D25" s="19">
        <f t="array" ref="D25">IF(OR($A25="",$G25=""),"",_xlfn.XLOOKUP($G25,Labor_Rates!$A$3:$A$7,Labor_Rates!$B$3:$B$7,""))</f>
        <v>33.95</v>
      </c>
      <c r="E25" s="19">
        <f t="shared" si="1"/>
        <v>0</v>
      </c>
      <c r="F25" s="7" t="s">
        <v>53</v>
      </c>
      <c r="G25" s="4" t="s">
        <v>71</v>
      </c>
    </row>
    <row r="26" ht="16.5" customHeight="1">
      <c r="A26" s="7" t="s">
        <v>53</v>
      </c>
      <c r="B26" s="7" t="s">
        <v>71</v>
      </c>
      <c r="C26" s="24">
        <v>0.0</v>
      </c>
      <c r="D26" s="19">
        <f t="array" ref="D26">IF(OR($A26="",$G26=""),"",_xlfn.XLOOKUP($G26,Labor_Rates!$A$3:$A$7,Labor_Rates!$B$3:$B$7,""))</f>
        <v>33.95</v>
      </c>
      <c r="E26" s="19">
        <f t="shared" si="1"/>
        <v>0</v>
      </c>
      <c r="F26" s="7" t="s">
        <v>53</v>
      </c>
      <c r="G26" s="4" t="s">
        <v>71</v>
      </c>
    </row>
    <row r="27" ht="16.5" customHeight="1">
      <c r="A27" s="7" t="s">
        <v>53</v>
      </c>
      <c r="B27" s="7" t="s">
        <v>71</v>
      </c>
      <c r="C27" s="24">
        <v>0.0</v>
      </c>
      <c r="D27" s="19">
        <f t="array" ref="D27">IF(OR($A27="",$G27=""),"",_xlfn.XLOOKUP($G27,Labor_Rates!$A$3:$A$7,Labor_Rates!$B$3:$B$7,""))</f>
        <v>33.95</v>
      </c>
      <c r="E27" s="19">
        <f t="shared" si="1"/>
        <v>0</v>
      </c>
      <c r="F27" s="7" t="s">
        <v>53</v>
      </c>
      <c r="G27" s="4" t="s">
        <v>71</v>
      </c>
    </row>
    <row r="28" ht="16.5" customHeight="1">
      <c r="A28" s="7" t="s">
        <v>53</v>
      </c>
      <c r="B28" s="7" t="s">
        <v>71</v>
      </c>
      <c r="C28" s="24">
        <v>0.0</v>
      </c>
      <c r="D28" s="19">
        <f t="array" ref="D28">IF(OR($A28="",$G28=""),"",_xlfn.XLOOKUP($G28,Labor_Rates!$A$3:$A$7,Labor_Rates!$B$3:$B$7,""))</f>
        <v>33.95</v>
      </c>
      <c r="E28" s="19">
        <f t="shared" si="1"/>
        <v>0</v>
      </c>
      <c r="F28" s="7" t="s">
        <v>53</v>
      </c>
      <c r="G28" s="4" t="s">
        <v>71</v>
      </c>
    </row>
    <row r="29" ht="16.5" customHeight="1">
      <c r="A29" s="7" t="s">
        <v>53</v>
      </c>
      <c r="B29" s="7" t="s">
        <v>71</v>
      </c>
      <c r="C29" s="24">
        <v>0.0</v>
      </c>
      <c r="D29" s="19">
        <f t="array" ref="D29">IF(OR($A29="",$G29=""),"",_xlfn.XLOOKUP($G29,Labor_Rates!$A$3:$A$7,Labor_Rates!$B$3:$B$7,""))</f>
        <v>33.95</v>
      </c>
      <c r="E29" s="19">
        <f t="shared" si="1"/>
        <v>0</v>
      </c>
      <c r="F29" s="7" t="s">
        <v>53</v>
      </c>
      <c r="G29" s="4" t="s">
        <v>71</v>
      </c>
    </row>
    <row r="30" ht="16.5" customHeight="1">
      <c r="A30" s="7" t="s">
        <v>53</v>
      </c>
      <c r="B30" s="7" t="s">
        <v>71</v>
      </c>
      <c r="C30" s="24">
        <v>0.0</v>
      </c>
      <c r="D30" s="19">
        <f t="array" ref="D30">IF(OR($A30="",$G30=""),"",_xlfn.XLOOKUP($G30,Labor_Rates!$A$3:$A$7,Labor_Rates!$B$3:$B$7,""))</f>
        <v>33.95</v>
      </c>
      <c r="E30" s="19">
        <f t="shared" si="1"/>
        <v>0</v>
      </c>
      <c r="F30" s="7" t="s">
        <v>53</v>
      </c>
      <c r="G30" s="4" t="s">
        <v>71</v>
      </c>
    </row>
    <row r="31" ht="16.5" customHeight="1">
      <c r="A31" s="7" t="s">
        <v>53</v>
      </c>
      <c r="B31" s="7" t="s">
        <v>71</v>
      </c>
      <c r="C31" s="24">
        <v>0.0</v>
      </c>
      <c r="D31" s="19">
        <f t="array" ref="D31">IF(OR($A31="",$G31=""),"",_xlfn.XLOOKUP($G31,Labor_Rates!$A$3:$A$7,Labor_Rates!$B$3:$B$7,""))</f>
        <v>33.95</v>
      </c>
      <c r="E31" s="19">
        <f t="shared" si="1"/>
        <v>0</v>
      </c>
      <c r="F31" s="7" t="s">
        <v>53</v>
      </c>
      <c r="G31" s="4" t="s">
        <v>71</v>
      </c>
    </row>
    <row r="32" ht="16.5" customHeight="1">
      <c r="A32" s="7" t="s">
        <v>53</v>
      </c>
      <c r="B32" s="7" t="s">
        <v>71</v>
      </c>
      <c r="C32" s="24">
        <v>0.0</v>
      </c>
      <c r="D32" s="19">
        <f t="array" ref="D32">IF(OR($A32="",$G32=""),"",_xlfn.XLOOKUP($G32,Labor_Rates!$A$3:$A$7,Labor_Rates!$B$3:$B$7,""))</f>
        <v>33.95</v>
      </c>
      <c r="E32" s="19">
        <f t="shared" si="1"/>
        <v>0</v>
      </c>
      <c r="F32" s="7" t="s">
        <v>53</v>
      </c>
      <c r="G32" s="4" t="s">
        <v>71</v>
      </c>
    </row>
    <row r="33" ht="16.5" customHeight="1">
      <c r="A33" s="7" t="s">
        <v>53</v>
      </c>
      <c r="B33" s="7" t="s">
        <v>71</v>
      </c>
      <c r="C33" s="24">
        <v>0.0</v>
      </c>
      <c r="D33" s="19">
        <f t="array" ref="D33">IF(OR($A33="",$G33=""),"",_xlfn.XLOOKUP($G33,Labor_Rates!$A$3:$A$7,Labor_Rates!$B$3:$B$7,""))</f>
        <v>33.95</v>
      </c>
      <c r="E33" s="19">
        <f t="shared" si="1"/>
        <v>0</v>
      </c>
      <c r="F33" s="7" t="s">
        <v>53</v>
      </c>
      <c r="G33" s="4" t="s">
        <v>71</v>
      </c>
    </row>
    <row r="34" ht="16.5" customHeight="1">
      <c r="A34" s="7" t="s">
        <v>53</v>
      </c>
      <c r="B34" s="7" t="s">
        <v>71</v>
      </c>
      <c r="C34" s="24">
        <v>0.0</v>
      </c>
      <c r="D34" s="19">
        <f t="array" ref="D34">IF(OR($A34="",$G34=""),"",_xlfn.XLOOKUP($G34,Labor_Rates!$A$3:$A$7,Labor_Rates!$B$3:$B$7,""))</f>
        <v>33.95</v>
      </c>
      <c r="E34" s="19">
        <f t="shared" si="1"/>
        <v>0</v>
      </c>
      <c r="F34" s="7" t="s">
        <v>53</v>
      </c>
      <c r="G34" s="4" t="s">
        <v>71</v>
      </c>
    </row>
    <row r="35" ht="16.5" customHeight="1">
      <c r="A35" s="7" t="s">
        <v>53</v>
      </c>
      <c r="B35" s="7" t="s">
        <v>71</v>
      </c>
      <c r="C35" s="24">
        <v>0.0</v>
      </c>
      <c r="D35" s="19">
        <f t="array" ref="D35">IF(OR($A35="",$G35=""),"",_xlfn.XLOOKUP($G35,Labor_Rates!$A$3:$A$7,Labor_Rates!$B$3:$B$7,""))</f>
        <v>33.95</v>
      </c>
      <c r="E35" s="19">
        <f t="shared" si="1"/>
        <v>0</v>
      </c>
      <c r="F35" s="7" t="s">
        <v>53</v>
      </c>
      <c r="G35" s="4" t="s">
        <v>71</v>
      </c>
    </row>
    <row r="36" ht="16.5" customHeight="1">
      <c r="A36" s="7" t="s">
        <v>53</v>
      </c>
      <c r="B36" s="7" t="s">
        <v>71</v>
      </c>
      <c r="C36" s="24">
        <v>0.0</v>
      </c>
      <c r="D36" s="19">
        <f t="array" ref="D36">IF(OR($A36="",$G36=""),"",_xlfn.XLOOKUP($G36,Labor_Rates!$A$3:$A$7,Labor_Rates!$B$3:$B$7,""))</f>
        <v>33.95</v>
      </c>
      <c r="E36" s="19">
        <f t="shared" si="1"/>
        <v>0</v>
      </c>
      <c r="F36" s="7" t="s">
        <v>53</v>
      </c>
      <c r="G36" s="4" t="s">
        <v>71</v>
      </c>
    </row>
    <row r="37" ht="16.5" customHeight="1">
      <c r="A37" s="7" t="s">
        <v>53</v>
      </c>
      <c r="B37" s="7" t="s">
        <v>71</v>
      </c>
      <c r="C37" s="24">
        <v>0.0</v>
      </c>
      <c r="D37" s="19">
        <f t="array" ref="D37">IF(OR($A37="",$G37=""),"",_xlfn.XLOOKUP($G37,Labor_Rates!$A$3:$A$7,Labor_Rates!$B$3:$B$7,""))</f>
        <v>33.95</v>
      </c>
      <c r="E37" s="19">
        <f t="shared" si="1"/>
        <v>0</v>
      </c>
      <c r="F37" s="7" t="s">
        <v>53</v>
      </c>
      <c r="G37" s="4" t="s">
        <v>71</v>
      </c>
    </row>
    <row r="38" ht="16.5" customHeight="1">
      <c r="A38" s="7"/>
      <c r="B38" s="7"/>
      <c r="C38" s="24"/>
      <c r="D38" s="19" t="str">
        <f t="array" ref="D38">IF(OR($A38="",$G38=""),"",_xlfn.XLOOKUP($G38,Labor_Rates!$A$3:$A$7,Labor_Rates!$B$3:$B$7,""))</f>
        <v/>
      </c>
      <c r="E38" s="19" t="str">
        <f t="shared" si="1"/>
        <v/>
      </c>
      <c r="F38" s="7"/>
      <c r="G38" s="4"/>
    </row>
    <row r="39" ht="16.5" customHeight="1">
      <c r="A39" s="7"/>
      <c r="B39" s="7"/>
      <c r="C39" s="24"/>
      <c r="D39" s="19" t="str">
        <f t="array" ref="D39">IF(OR($A39="",$G39=""),"",_xlfn.XLOOKUP($G39,Labor_Rates!$A$3:$A$7,Labor_Rates!$B$3:$B$7,""))</f>
        <v/>
      </c>
      <c r="E39" s="19" t="str">
        <f t="shared" si="1"/>
        <v/>
      </c>
      <c r="F39" s="7"/>
      <c r="G39" s="4"/>
    </row>
    <row r="40" ht="16.5" customHeight="1">
      <c r="A40" s="7"/>
      <c r="B40" s="7"/>
      <c r="C40" s="24"/>
      <c r="D40" s="19" t="str">
        <f t="array" ref="D40">IF(OR($A40="",$G40=""),"",_xlfn.XLOOKUP($G40,Labor_Rates!$A$3:$A$7,Labor_Rates!$B$3:$B$7,""))</f>
        <v/>
      </c>
      <c r="E40" s="19" t="str">
        <f t="shared" si="1"/>
        <v/>
      </c>
      <c r="F40" s="7"/>
      <c r="G40" s="4"/>
    </row>
    <row r="41" ht="16.5" customHeight="1">
      <c r="A41" s="7"/>
      <c r="B41" s="7"/>
      <c r="C41" s="24"/>
      <c r="D41" s="19" t="str">
        <f t="array" ref="D41">IF(OR($A41="",$G41=""),"",_xlfn.XLOOKUP($G41,Labor_Rates!$A$3:$A$7,Labor_Rates!$B$3:$B$7,""))</f>
        <v/>
      </c>
      <c r="E41" s="19" t="str">
        <f t="shared" si="1"/>
        <v/>
      </c>
      <c r="F41" s="7"/>
      <c r="G41" s="4"/>
    </row>
    <row r="42" ht="16.5" customHeight="1">
      <c r="A42" s="7"/>
      <c r="B42" s="7"/>
      <c r="C42" s="24"/>
      <c r="D42" s="19" t="str">
        <f t="array" ref="D42">IF(OR($A42="",$G42=""),"",_xlfn.XLOOKUP($G42,Labor_Rates!$A$3:$A$7,Labor_Rates!$B$3:$B$7,""))</f>
        <v/>
      </c>
      <c r="E42" s="19" t="str">
        <f t="shared" si="1"/>
        <v/>
      </c>
      <c r="F42" s="7"/>
      <c r="G42" s="4"/>
    </row>
    <row r="43" ht="16.5" customHeight="1">
      <c r="A43" s="7"/>
      <c r="B43" s="7"/>
      <c r="C43" s="24"/>
      <c r="D43" s="19" t="str">
        <f t="array" ref="D43">IF(OR($A43="",$G43=""),"",_xlfn.XLOOKUP($G43,Labor_Rates!$A$3:$A$7,Labor_Rates!$B$3:$B$7,""))</f>
        <v/>
      </c>
      <c r="E43" s="19" t="str">
        <f t="shared" si="1"/>
        <v/>
      </c>
      <c r="F43" s="7"/>
      <c r="G43" s="4"/>
    </row>
    <row r="44" ht="16.5" customHeight="1">
      <c r="A44" s="7"/>
      <c r="B44" s="7"/>
      <c r="C44" s="24"/>
      <c r="D44" s="19" t="str">
        <f t="array" ref="D44">IF(OR($A44="",$G44=""),"",_xlfn.XLOOKUP($G44,Labor_Rates!$A$3:$A$7,Labor_Rates!$B$3:$B$7,""))</f>
        <v/>
      </c>
      <c r="E44" s="19" t="str">
        <f t="shared" si="1"/>
        <v/>
      </c>
      <c r="F44" s="7"/>
      <c r="G44" s="4"/>
    </row>
    <row r="45" ht="16.5" customHeight="1">
      <c r="A45" s="7"/>
      <c r="B45" s="7"/>
      <c r="C45" s="24"/>
      <c r="D45" s="19" t="str">
        <f t="array" ref="D45">IF(OR($A45="",$G45=""),"",_xlfn.XLOOKUP($G45,Labor_Rates!$A$3:$A$7,Labor_Rates!$B$3:$B$7,""))</f>
        <v/>
      </c>
      <c r="E45" s="19" t="str">
        <f t="shared" si="1"/>
        <v/>
      </c>
      <c r="F45" s="7"/>
      <c r="G45" s="4"/>
    </row>
    <row r="46" ht="16.5" customHeight="1">
      <c r="A46" s="7"/>
      <c r="B46" s="7"/>
      <c r="C46" s="24"/>
      <c r="D46" s="19" t="str">
        <f t="array" ref="D46">IF(OR($A46="",$G46=""),"",_xlfn.XLOOKUP($G46,Labor_Rates!$A$3:$A$7,Labor_Rates!$B$3:$B$7,""))</f>
        <v/>
      </c>
      <c r="E46" s="19" t="str">
        <f t="shared" si="1"/>
        <v/>
      </c>
      <c r="F46" s="7"/>
      <c r="G46" s="4"/>
    </row>
    <row r="47" ht="16.5" customHeight="1">
      <c r="A47" s="7"/>
      <c r="B47" s="7"/>
      <c r="C47" s="24"/>
      <c r="D47" s="19" t="str">
        <f t="array" ref="D47">IF(OR($A47="",$G47=""),"",_xlfn.XLOOKUP($G47,Labor_Rates!$A$3:$A$7,Labor_Rates!$B$3:$B$7,""))</f>
        <v/>
      </c>
      <c r="E47" s="19" t="str">
        <f t="shared" si="1"/>
        <v/>
      </c>
      <c r="F47" s="7"/>
      <c r="G47" s="4"/>
    </row>
    <row r="48" ht="16.5" customHeight="1">
      <c r="A48" s="7"/>
      <c r="B48" s="7"/>
      <c r="C48" s="24"/>
      <c r="D48" s="19" t="str">
        <f t="array" ref="D48">IF(OR($A48="",$G48=""),"",_xlfn.XLOOKUP($G48,Labor_Rates!$A$3:$A$7,Labor_Rates!$B$3:$B$7,""))</f>
        <v/>
      </c>
      <c r="E48" s="19" t="str">
        <f t="shared" si="1"/>
        <v/>
      </c>
      <c r="F48" s="7"/>
      <c r="G48" s="4"/>
    </row>
    <row r="49" ht="16.5" customHeight="1">
      <c r="A49" s="7"/>
      <c r="B49" s="7"/>
      <c r="C49" s="24"/>
      <c r="D49" s="19" t="str">
        <f t="array" ref="D49">IF(OR($A49="",$G49=""),"",_xlfn.XLOOKUP($G49,Labor_Rates!$A$3:$A$7,Labor_Rates!$B$3:$B$7,""))</f>
        <v/>
      </c>
      <c r="E49" s="19" t="str">
        <f t="shared" si="1"/>
        <v/>
      </c>
      <c r="F49" s="7"/>
      <c r="G49" s="4"/>
    </row>
    <row r="50" ht="16.5" customHeight="1">
      <c r="A50" s="7"/>
      <c r="B50" s="7"/>
      <c r="C50" s="24"/>
      <c r="D50" s="19" t="str">
        <f t="array" ref="D50">IF(OR($A50="",$G50=""),"",_xlfn.XLOOKUP($G50,Labor_Rates!$A$3:$A$7,Labor_Rates!$B$3:$B$7,""))</f>
        <v/>
      </c>
      <c r="E50" s="19" t="str">
        <f t="shared" si="1"/>
        <v/>
      </c>
      <c r="F50" s="7"/>
      <c r="G50" s="4"/>
    </row>
    <row r="51" ht="16.5" customHeight="1">
      <c r="A51" s="7"/>
      <c r="B51" s="7"/>
      <c r="C51" s="24"/>
      <c r="D51" s="19" t="str">
        <f t="array" ref="D51">IF(OR($A51="",$G51=""),"",_xlfn.XLOOKUP($G51,Labor_Rates!$A$3:$A$7,Labor_Rates!$B$3:$B$7,""))</f>
        <v/>
      </c>
      <c r="E51" s="19" t="str">
        <f t="shared" si="1"/>
        <v/>
      </c>
      <c r="F51" s="7"/>
      <c r="G51" s="4"/>
    </row>
    <row r="52" ht="16.5" customHeight="1">
      <c r="A52" s="21"/>
      <c r="B52" s="21"/>
      <c r="C52" s="34"/>
      <c r="D52" s="35" t="str">
        <f t="array" ref="D52">IF(OR($A52="",$G52=""),"",_xlfn.XLOOKUP($G52,Labor_Rates!$A$3:$A$7,Labor_Rates!$B$3:$B$7,""))</f>
        <v/>
      </c>
      <c r="E52" s="35" t="str">
        <f t="shared" si="1"/>
        <v/>
      </c>
      <c r="F52" s="21"/>
      <c r="G52" s="4"/>
    </row>
    <row r="53" ht="15.75" customHeight="1">
      <c r="A53" s="25"/>
      <c r="D53" s="25" t="str">
        <f t="array" ref="D53">IF(OR($A53="",$G53=""),"",_xlfn.XLOOKUP($G53,Labor_Rates!$A$3:$A$7,Labor_Rates!$B$3:$B$7,""))</f>
        <v/>
      </c>
      <c r="E53" s="25" t="str">
        <f t="shared" si="1"/>
        <v/>
      </c>
      <c r="G53" s="25"/>
    </row>
    <row r="54" ht="15.75" customHeight="1">
      <c r="A54" s="25"/>
      <c r="D54" s="25" t="str">
        <f t="array" ref="D54">IF(OR($A54="",$G54=""),"",_xlfn.XLOOKUP($G54,Labor_Rates!$A$3:$A$7,Labor_Rates!$B$3:$B$7,""))</f>
        <v/>
      </c>
      <c r="E54" s="25" t="str">
        <f t="shared" si="1"/>
        <v/>
      </c>
      <c r="G54" s="25"/>
    </row>
    <row r="55" ht="15.75" customHeight="1">
      <c r="A55" s="25"/>
      <c r="D55" s="25" t="str">
        <f t="array" ref="D55">IF(OR($A55="",$G55=""),"",_xlfn.XLOOKUP($G55,Labor_Rates!$A$3:$A$7,Labor_Rates!$B$3:$B$7,""))</f>
        <v/>
      </c>
      <c r="E55" s="25" t="str">
        <f t="shared" si="1"/>
        <v/>
      </c>
      <c r="G55" s="25"/>
    </row>
    <row r="56" ht="15.75" customHeight="1">
      <c r="A56" s="25"/>
      <c r="D56" s="25" t="str">
        <f t="array" ref="D56">IF(OR($A56="",$G56=""),"",_xlfn.XLOOKUP($G56,Labor_Rates!$A$3:$A$7,Labor_Rates!$B$3:$B$7,""))</f>
        <v/>
      </c>
      <c r="E56" s="25" t="str">
        <f t="shared" si="1"/>
        <v/>
      </c>
      <c r="G56" s="25"/>
    </row>
    <row r="57" ht="15.75" customHeight="1">
      <c r="A57" s="25"/>
      <c r="D57" s="25" t="str">
        <f t="array" ref="D57">IF(OR($A57="",$G57=""),"",_xlfn.XLOOKUP($G57,Labor_Rates!$A$3:$A$7,Labor_Rates!$B$3:$B$7,""))</f>
        <v/>
      </c>
      <c r="E57" s="25" t="str">
        <f t="shared" si="1"/>
        <v/>
      </c>
      <c r="G57" s="25"/>
    </row>
    <row r="58" ht="15.75" customHeight="1">
      <c r="A58" s="25"/>
      <c r="D58" s="25" t="str">
        <f t="array" ref="D58">IF(OR($A58="",$G58=""),"",_xlfn.XLOOKUP($G58,Labor_Rates!$A$3:$A$7,Labor_Rates!$B$3:$B$7,""))</f>
        <v/>
      </c>
      <c r="E58" s="25" t="str">
        <f t="shared" si="1"/>
        <v/>
      </c>
      <c r="G58" s="25"/>
    </row>
    <row r="59" ht="15.75" customHeight="1">
      <c r="A59" s="25"/>
      <c r="D59" s="25" t="str">
        <f t="array" ref="D59">IF(OR($A59="",$G59=""),"",_xlfn.XLOOKUP($G59,Labor_Rates!$A$3:$A$7,Labor_Rates!$B$3:$B$7,""))</f>
        <v/>
      </c>
      <c r="E59" s="25" t="str">
        <f t="shared" si="1"/>
        <v/>
      </c>
      <c r="G59" s="25"/>
    </row>
    <row r="60" ht="15.75" customHeight="1">
      <c r="A60" s="25"/>
      <c r="D60" s="25" t="str">
        <f t="array" ref="D60">IF(OR($A60="",$G60=""),"",_xlfn.XLOOKUP($G60,Labor_Rates!$A$3:$A$7,Labor_Rates!$B$3:$B$7,""))</f>
        <v/>
      </c>
      <c r="E60" s="25" t="str">
        <f t="shared" si="1"/>
        <v/>
      </c>
      <c r="G60" s="25"/>
    </row>
    <row r="61" ht="15.75" customHeight="1">
      <c r="A61" s="25"/>
      <c r="D61" s="25" t="str">
        <f t="array" ref="D61">IF(OR($A61="",$G61=""),"",_xlfn.XLOOKUP($G61,Labor_Rates!$A$3:$A$7,Labor_Rates!$B$3:$B$7,""))</f>
        <v/>
      </c>
      <c r="E61" s="25" t="str">
        <f t="shared" si="1"/>
        <v/>
      </c>
      <c r="G61" s="25"/>
    </row>
    <row r="62" ht="15.75" customHeight="1">
      <c r="A62" s="25"/>
      <c r="D62" s="25" t="str">
        <f t="array" ref="D62">IF(OR($A62="",$G62=""),"",_xlfn.XLOOKUP($G62,Labor_Rates!$A$3:$A$7,Labor_Rates!$B$3:$B$7,""))</f>
        <v/>
      </c>
      <c r="E62" s="25" t="str">
        <f t="shared" si="1"/>
        <v/>
      </c>
      <c r="G62" s="25"/>
    </row>
    <row r="63" ht="15.75" customHeight="1">
      <c r="A63" s="25"/>
      <c r="D63" s="25" t="str">
        <f t="array" ref="D63">IF(OR($A63="",$G63=""),"",_xlfn.XLOOKUP($G63,Labor_Rates!$A$3:$A$7,Labor_Rates!$B$3:$B$7,""))</f>
        <v/>
      </c>
      <c r="E63" s="25" t="str">
        <f t="shared" si="1"/>
        <v/>
      </c>
      <c r="G63" s="25"/>
    </row>
    <row r="64" ht="15.75" customHeight="1">
      <c r="A64" s="25"/>
      <c r="D64" s="25" t="str">
        <f t="array" ref="D64">IF(OR($A64="",$G64=""),"",_xlfn.XLOOKUP($G64,Labor_Rates!$A$3:$A$7,Labor_Rates!$B$3:$B$7,""))</f>
        <v/>
      </c>
      <c r="E64" s="25" t="str">
        <f t="shared" si="1"/>
        <v/>
      </c>
      <c r="G64" s="25"/>
    </row>
    <row r="65" ht="15.75" customHeight="1">
      <c r="A65" s="25"/>
      <c r="D65" s="25" t="str">
        <f t="array" ref="D65">IF(OR($A65="",$G65=""),"",_xlfn.XLOOKUP($G65,Labor_Rates!$A$3:$A$7,Labor_Rates!$B$3:$B$7,""))</f>
        <v/>
      </c>
      <c r="E65" s="25" t="str">
        <f t="shared" si="1"/>
        <v/>
      </c>
      <c r="G65" s="25"/>
    </row>
    <row r="66" ht="15.75" customHeight="1">
      <c r="A66" s="25"/>
      <c r="D66" s="25" t="str">
        <f t="array" ref="D66">IF(OR($A66="",$G66=""),"",_xlfn.XLOOKUP($G66,Labor_Rates!$A$3:$A$7,Labor_Rates!$B$3:$B$7,""))</f>
        <v/>
      </c>
      <c r="E66" s="25" t="str">
        <f t="shared" si="1"/>
        <v/>
      </c>
      <c r="G66" s="25"/>
    </row>
    <row r="67" ht="15.75" customHeight="1">
      <c r="A67" s="25"/>
      <c r="D67" s="25" t="str">
        <f t="array" ref="D67">IF(OR($A67="",$G67=""),"",_xlfn.XLOOKUP($G67,Labor_Rates!$A$3:$A$7,Labor_Rates!$B$3:$B$7,""))</f>
        <v/>
      </c>
      <c r="E67" s="25" t="str">
        <f t="shared" si="1"/>
        <v/>
      </c>
      <c r="G67" s="25"/>
    </row>
    <row r="68" ht="15.75" customHeight="1">
      <c r="A68" s="25"/>
      <c r="D68" s="25" t="str">
        <f t="array" ref="D68">IF(OR($A68="",$G68=""),"",_xlfn.XLOOKUP($G68,Labor_Rates!$A$3:$A$7,Labor_Rates!$B$3:$B$7,""))</f>
        <v/>
      </c>
      <c r="E68" s="25" t="str">
        <f t="shared" si="1"/>
        <v/>
      </c>
      <c r="G68" s="25"/>
    </row>
    <row r="69" ht="15.75" customHeight="1">
      <c r="A69" s="25"/>
      <c r="D69" s="25" t="str">
        <f t="array" ref="D69">IF(OR($A69="",$G69=""),"",_xlfn.XLOOKUP($G69,Labor_Rates!$A$3:$A$7,Labor_Rates!$B$3:$B$7,""))</f>
        <v/>
      </c>
      <c r="E69" s="25" t="str">
        <f t="shared" si="1"/>
        <v/>
      </c>
      <c r="G69" s="25"/>
    </row>
    <row r="70" ht="15.75" customHeight="1">
      <c r="A70" s="25"/>
      <c r="D70" s="25" t="str">
        <f t="array" ref="D70">IF(OR($A70="",$G70=""),"",_xlfn.XLOOKUP($G70,Labor_Rates!$A$3:$A$7,Labor_Rates!$B$3:$B$7,""))</f>
        <v/>
      </c>
      <c r="E70" s="25" t="str">
        <f t="shared" si="1"/>
        <v/>
      </c>
      <c r="G70" s="25"/>
    </row>
    <row r="71" ht="15.75" customHeight="1">
      <c r="A71" s="25"/>
      <c r="D71" s="25" t="str">
        <f t="array" ref="D71">IF(OR($A71="",$G71=""),"",_xlfn.XLOOKUP($G71,Labor_Rates!$A$3:$A$7,Labor_Rates!$B$3:$B$7,""))</f>
        <v/>
      </c>
      <c r="E71" s="25" t="str">
        <f t="shared" si="1"/>
        <v/>
      </c>
      <c r="G71" s="25"/>
    </row>
    <row r="72" ht="15.75" customHeight="1">
      <c r="A72" s="25"/>
      <c r="D72" s="25" t="str">
        <f t="array" ref="D72">IF(OR($A72="",$G72=""),"",_xlfn.XLOOKUP($G72,Labor_Rates!$A$3:$A$7,Labor_Rates!$B$3:$B$7,""))</f>
        <v/>
      </c>
      <c r="E72" s="25" t="str">
        <f t="shared" si="1"/>
        <v/>
      </c>
      <c r="G72" s="25"/>
    </row>
    <row r="73" ht="15.75" customHeight="1">
      <c r="A73" s="25"/>
      <c r="D73" s="25" t="str">
        <f t="array" ref="D73">IF(OR($A73="",$G73=""),"",_xlfn.XLOOKUP($G73,Labor_Rates!$A$3:$A$7,Labor_Rates!$B$3:$B$7,""))</f>
        <v/>
      </c>
      <c r="E73" s="25" t="str">
        <f t="shared" si="1"/>
        <v/>
      </c>
      <c r="G73" s="25"/>
    </row>
    <row r="74" ht="15.75" customHeight="1">
      <c r="A74" s="25"/>
      <c r="D74" s="25" t="str">
        <f t="array" ref="D74">IF(OR($A74="",$G74=""),"",_xlfn.XLOOKUP($G74,Labor_Rates!$A$3:$A$7,Labor_Rates!$B$3:$B$7,""))</f>
        <v/>
      </c>
      <c r="E74" s="25" t="str">
        <f t="shared" si="1"/>
        <v/>
      </c>
      <c r="G74" s="25"/>
    </row>
    <row r="75" ht="15.75" customHeight="1">
      <c r="A75" s="25"/>
      <c r="D75" s="25" t="str">
        <f t="array" ref="D75">IF(OR($A75="",$G75=""),"",_xlfn.XLOOKUP($G75,Labor_Rates!$A$3:$A$7,Labor_Rates!$B$3:$B$7,""))</f>
        <v/>
      </c>
      <c r="E75" s="25" t="str">
        <f t="shared" si="1"/>
        <v/>
      </c>
      <c r="G75" s="25"/>
    </row>
    <row r="76" ht="15.75" customHeight="1">
      <c r="A76" s="25"/>
      <c r="D76" s="25" t="str">
        <f t="array" ref="D76">IF(OR($A76="",$G76=""),"",_xlfn.XLOOKUP($G76,Labor_Rates!$A$3:$A$7,Labor_Rates!$B$3:$B$7,""))</f>
        <v/>
      </c>
      <c r="E76" s="25" t="str">
        <f t="shared" si="1"/>
        <v/>
      </c>
      <c r="G76" s="25"/>
    </row>
    <row r="77" ht="15.75" customHeight="1">
      <c r="A77" s="25"/>
      <c r="D77" s="25" t="str">
        <f t="array" ref="D77">IF(OR($A77="",$G77=""),"",_xlfn.XLOOKUP($G77,Labor_Rates!$A$3:$A$7,Labor_Rates!$B$3:$B$7,""))</f>
        <v/>
      </c>
      <c r="E77" s="25" t="str">
        <f t="shared" si="1"/>
        <v/>
      </c>
      <c r="G77" s="25"/>
    </row>
    <row r="78" ht="15.75" customHeight="1">
      <c r="A78" s="25"/>
      <c r="D78" s="25" t="str">
        <f t="array" ref="D78">IF(OR($A78="",$G78=""),"",_xlfn.XLOOKUP($G78,Labor_Rates!$A$3:$A$7,Labor_Rates!$B$3:$B$7,""))</f>
        <v/>
      </c>
      <c r="E78" s="25" t="str">
        <f t="shared" si="1"/>
        <v/>
      </c>
      <c r="G78" s="25"/>
    </row>
    <row r="79" ht="15.75" customHeight="1">
      <c r="A79" s="25"/>
      <c r="D79" s="25" t="str">
        <f t="array" ref="D79">IF(OR($A79="",$G79=""),"",_xlfn.XLOOKUP($G79,Labor_Rates!$A$3:$A$7,Labor_Rates!$B$3:$B$7,""))</f>
        <v/>
      </c>
      <c r="E79" s="25" t="str">
        <f t="shared" si="1"/>
        <v/>
      </c>
      <c r="G79" s="25"/>
    </row>
    <row r="80" ht="15.75" customHeight="1">
      <c r="A80" s="25"/>
      <c r="D80" s="25" t="str">
        <f t="array" ref="D80">IF(OR($A80="",$G80=""),"",_xlfn.XLOOKUP($G80,Labor_Rates!$A$3:$A$7,Labor_Rates!$B$3:$B$7,""))</f>
        <v/>
      </c>
      <c r="E80" s="25" t="str">
        <f t="shared" si="1"/>
        <v/>
      </c>
      <c r="G80" s="25"/>
    </row>
    <row r="81" ht="15.75" customHeight="1">
      <c r="A81" s="25"/>
      <c r="D81" s="25" t="str">
        <f t="array" ref="D81">IF(OR($A81="",$G81=""),"",_xlfn.XLOOKUP($G81,Labor_Rates!$A$3:$A$7,Labor_Rates!$B$3:$B$7,""))</f>
        <v/>
      </c>
      <c r="E81" s="25" t="str">
        <f t="shared" si="1"/>
        <v/>
      </c>
      <c r="G81" s="25"/>
    </row>
    <row r="82" ht="15.75" customHeight="1">
      <c r="A82" s="25"/>
      <c r="D82" s="25" t="str">
        <f t="array" ref="D82">IF(OR($A82="",$G82=""),"",_xlfn.XLOOKUP($G82,Labor_Rates!$A$3:$A$7,Labor_Rates!$B$3:$B$7,""))</f>
        <v/>
      </c>
      <c r="E82" s="25" t="str">
        <f t="shared" si="1"/>
        <v/>
      </c>
      <c r="G82" s="25"/>
    </row>
    <row r="83" ht="15.75" customHeight="1">
      <c r="A83" s="25"/>
      <c r="D83" s="25" t="str">
        <f t="array" ref="D83">IF(OR($A83="",$G83=""),"",_xlfn.XLOOKUP($G83,Labor_Rates!$A$3:$A$7,Labor_Rates!$B$3:$B$7,""))</f>
        <v/>
      </c>
      <c r="E83" s="25" t="str">
        <f t="shared" si="1"/>
        <v/>
      </c>
      <c r="G83" s="25"/>
    </row>
    <row r="84" ht="15.75" customHeight="1">
      <c r="A84" s="25"/>
      <c r="D84" s="25" t="str">
        <f t="array" ref="D84">IF(OR($A84="",$G84=""),"",_xlfn.XLOOKUP($G84,Labor_Rates!$A$3:$A$7,Labor_Rates!$B$3:$B$7,""))</f>
        <v/>
      </c>
      <c r="E84" s="25" t="str">
        <f t="shared" si="1"/>
        <v/>
      </c>
      <c r="G84" s="25"/>
    </row>
    <row r="85" ht="15.75" customHeight="1">
      <c r="A85" s="25"/>
      <c r="D85" s="25" t="str">
        <f t="array" ref="D85">IF(OR($A85="",$G85=""),"",_xlfn.XLOOKUP($G85,Labor_Rates!$A$3:$A$7,Labor_Rates!$B$3:$B$7,""))</f>
        <v/>
      </c>
      <c r="E85" s="25" t="str">
        <f t="shared" si="1"/>
        <v/>
      </c>
      <c r="G85" s="25"/>
    </row>
    <row r="86" ht="15.75" customHeight="1">
      <c r="A86" s="25"/>
      <c r="D86" s="25" t="str">
        <f t="array" ref="D86">IF(OR($A86="",$G86=""),"",_xlfn.XLOOKUP($G86,Labor_Rates!$A$3:$A$7,Labor_Rates!$B$3:$B$7,""))</f>
        <v/>
      </c>
      <c r="E86" s="25" t="str">
        <f t="shared" si="1"/>
        <v/>
      </c>
      <c r="G86" s="25"/>
    </row>
    <row r="87" ht="15.75" customHeight="1">
      <c r="A87" s="25"/>
      <c r="D87" s="25" t="str">
        <f t="array" ref="D87">IF(OR($A87="",$G87=""),"",_xlfn.XLOOKUP($G87,Labor_Rates!$A$3:$A$7,Labor_Rates!$B$3:$B$7,""))</f>
        <v/>
      </c>
      <c r="E87" s="25" t="str">
        <f t="shared" si="1"/>
        <v/>
      </c>
      <c r="G87" s="25"/>
    </row>
    <row r="88" ht="15.75" customHeight="1">
      <c r="A88" s="25"/>
      <c r="D88" s="25" t="str">
        <f t="array" ref="D88">IF(OR($A88="",$G88=""),"",_xlfn.XLOOKUP($G88,Labor_Rates!$A$3:$A$7,Labor_Rates!$B$3:$B$7,""))</f>
        <v/>
      </c>
      <c r="E88" s="25" t="str">
        <f t="shared" si="1"/>
        <v/>
      </c>
      <c r="G88" s="25"/>
    </row>
    <row r="89" ht="15.75" customHeight="1">
      <c r="A89" s="25"/>
      <c r="D89" s="25" t="str">
        <f t="array" ref="D89">IF(OR($A89="",$G89=""),"",_xlfn.XLOOKUP($G89,Labor_Rates!$A$3:$A$7,Labor_Rates!$B$3:$B$7,""))</f>
        <v/>
      </c>
      <c r="E89" s="25" t="str">
        <f t="shared" si="1"/>
        <v/>
      </c>
      <c r="G89" s="25"/>
    </row>
    <row r="90" ht="15.75" customHeight="1">
      <c r="A90" s="25"/>
      <c r="D90" s="25" t="str">
        <f t="array" ref="D90">IF(OR($A90="",$G90=""),"",_xlfn.XLOOKUP($G90,Labor_Rates!$A$3:$A$7,Labor_Rates!$B$3:$B$7,""))</f>
        <v/>
      </c>
      <c r="E90" s="25" t="str">
        <f t="shared" si="1"/>
        <v/>
      </c>
      <c r="G90" s="25"/>
    </row>
    <row r="91" ht="15.75" customHeight="1">
      <c r="A91" s="25"/>
      <c r="D91" s="25" t="str">
        <f t="array" ref="D91">IF(OR($A91="",$G91=""),"",_xlfn.XLOOKUP($G91,Labor_Rates!$A$3:$A$7,Labor_Rates!$B$3:$B$7,""))</f>
        <v/>
      </c>
      <c r="E91" s="25" t="str">
        <f t="shared" si="1"/>
        <v/>
      </c>
      <c r="G91" s="25"/>
    </row>
    <row r="92" ht="15.75" customHeight="1">
      <c r="A92" s="25"/>
      <c r="D92" s="25" t="str">
        <f t="array" ref="D92">IF(OR($A92="",$G92=""),"",_xlfn.XLOOKUP($G92,Labor_Rates!$A$3:$A$7,Labor_Rates!$B$3:$B$7,""))</f>
        <v/>
      </c>
      <c r="E92" s="25" t="str">
        <f t="shared" si="1"/>
        <v/>
      </c>
      <c r="G92" s="25"/>
    </row>
    <row r="93" ht="15.75" customHeight="1">
      <c r="A93" s="25"/>
      <c r="D93" s="25" t="str">
        <f t="array" ref="D93">IF(OR($A93="",$G93=""),"",_xlfn.XLOOKUP($G93,Labor_Rates!$A$3:$A$7,Labor_Rates!$B$3:$B$7,""))</f>
        <v/>
      </c>
      <c r="E93" s="25" t="str">
        <f t="shared" si="1"/>
        <v/>
      </c>
      <c r="G93" s="25"/>
    </row>
    <row r="94" ht="15.75" customHeight="1">
      <c r="A94" s="25"/>
      <c r="D94" s="25" t="str">
        <f t="array" ref="D94">IF(OR($A94="",$G94=""),"",_xlfn.XLOOKUP($G94,Labor_Rates!$A$3:$A$7,Labor_Rates!$B$3:$B$7,""))</f>
        <v/>
      </c>
      <c r="E94" s="25" t="str">
        <f t="shared" si="1"/>
        <v/>
      </c>
      <c r="G94" s="25"/>
    </row>
    <row r="95" ht="15.75" customHeight="1">
      <c r="A95" s="25"/>
      <c r="D95" s="25" t="str">
        <f t="array" ref="D95">IF(OR($A95="",$G95=""),"",_xlfn.XLOOKUP($G95,Labor_Rates!$A$3:$A$7,Labor_Rates!$B$3:$B$7,""))</f>
        <v/>
      </c>
      <c r="E95" s="25" t="str">
        <f t="shared" si="1"/>
        <v/>
      </c>
      <c r="G95" s="25"/>
    </row>
    <row r="96" ht="15.75" customHeight="1">
      <c r="A96" s="25"/>
      <c r="D96" s="25" t="str">
        <f t="array" ref="D96">IF(OR($A96="",$G96=""),"",_xlfn.XLOOKUP($G96,Labor_Rates!$A$3:$A$7,Labor_Rates!$B$3:$B$7,""))</f>
        <v/>
      </c>
      <c r="E96" s="25" t="str">
        <f t="shared" si="1"/>
        <v/>
      </c>
      <c r="G96" s="25"/>
    </row>
    <row r="97" ht="15.75" customHeight="1">
      <c r="A97" s="25"/>
      <c r="D97" s="25" t="str">
        <f t="array" ref="D97">IF(OR($A97="",$G97=""),"",_xlfn.XLOOKUP($G97,Labor_Rates!$A$3:$A$7,Labor_Rates!$B$3:$B$7,""))</f>
        <v/>
      </c>
      <c r="E97" s="25" t="str">
        <f t="shared" si="1"/>
        <v/>
      </c>
      <c r="G97" s="25"/>
    </row>
    <row r="98" ht="15.75" customHeight="1">
      <c r="A98" s="25"/>
      <c r="D98" s="25" t="str">
        <f t="array" ref="D98">IF(OR($A98="",$G98=""),"",_xlfn.XLOOKUP($G98,Labor_Rates!$A$3:$A$7,Labor_Rates!$B$3:$B$7,""))</f>
        <v/>
      </c>
      <c r="E98" s="25" t="str">
        <f t="shared" si="1"/>
        <v/>
      </c>
      <c r="G98" s="25"/>
    </row>
    <row r="99" ht="15.75" customHeight="1">
      <c r="A99" s="25"/>
      <c r="D99" s="25" t="str">
        <f t="array" ref="D99">IF(OR($A99="",$G99=""),"",_xlfn.XLOOKUP($G99,Labor_Rates!$A$3:$A$7,Labor_Rates!$B$3:$B$7,""))</f>
        <v/>
      </c>
      <c r="E99" s="25" t="str">
        <f t="shared" si="1"/>
        <v/>
      </c>
      <c r="G99" s="25"/>
    </row>
    <row r="100" ht="15.75" customHeight="1">
      <c r="A100" s="25"/>
      <c r="D100" s="25" t="str">
        <f t="array" ref="D100">IF(OR($A100="",$G100=""),"",_xlfn.XLOOKUP($G100,Labor_Rates!$A$3:$A$7,Labor_Rates!$B$3:$B$7,""))</f>
        <v/>
      </c>
      <c r="E100" s="25" t="str">
        <f t="shared" si="1"/>
        <v/>
      </c>
      <c r="G100" s="25"/>
    </row>
    <row r="101" ht="15.75" customHeight="1">
      <c r="A101" s="25"/>
      <c r="D101" s="25" t="str">
        <f t="array" ref="D101">IF(OR($A101="",$G101=""),"",_xlfn.XLOOKUP($G101,Labor_Rates!$A$3:$A$7,Labor_Rates!$B$3:$B$7,""))</f>
        <v/>
      </c>
      <c r="E101" s="25" t="str">
        <f t="shared" si="1"/>
        <v/>
      </c>
      <c r="G101" s="25"/>
    </row>
    <row r="102" ht="15.75" customHeight="1">
      <c r="A102" s="25"/>
      <c r="D102" s="25" t="str">
        <f t="array" ref="D102">IF(OR($A102="",$G102=""),"",_xlfn.XLOOKUP($G102,Labor_Rates!$A$3:$A$7,Labor_Rates!$B$3:$B$7,""))</f>
        <v/>
      </c>
      <c r="E102" s="25" t="str">
        <f t="shared" si="1"/>
        <v/>
      </c>
      <c r="G102" s="25"/>
    </row>
    <row r="103" ht="15.75" customHeight="1">
      <c r="A103" s="25"/>
      <c r="D103" s="25" t="str">
        <f t="array" ref="D103">IF(OR($A103="",$G103=""),"",_xlfn.XLOOKUP($G103,Labor_Rates!$A$3:$A$7,Labor_Rates!$B$3:$B$7,""))</f>
        <v/>
      </c>
      <c r="E103" s="25" t="str">
        <f t="shared" si="1"/>
        <v/>
      </c>
      <c r="G103" s="25"/>
    </row>
    <row r="104" ht="15.75" customHeight="1">
      <c r="A104" s="25"/>
      <c r="D104" s="25" t="str">
        <f t="array" ref="D104">IF(OR($A104="",$G104=""),"",_xlfn.XLOOKUP($G104,Labor_Rates!$A$3:$A$7,Labor_Rates!$B$3:$B$7,""))</f>
        <v/>
      </c>
      <c r="E104" s="25" t="str">
        <f t="shared" si="1"/>
        <v/>
      </c>
      <c r="G104" s="25"/>
    </row>
    <row r="105" ht="15.75" customHeight="1">
      <c r="A105" s="25"/>
      <c r="D105" s="25" t="str">
        <f t="array" ref="D105">IF(OR($A105="",$G105=""),"",_xlfn.XLOOKUP($G105,Labor_Rates!$A$3:$A$7,Labor_Rates!$B$3:$B$7,""))</f>
        <v/>
      </c>
      <c r="E105" s="25" t="str">
        <f t="shared" si="1"/>
        <v/>
      </c>
      <c r="G105" s="25"/>
    </row>
    <row r="106" ht="15.75" customHeight="1">
      <c r="A106" s="25"/>
      <c r="D106" s="25" t="str">
        <f t="array" ref="D106">IF(OR($A106="",$G106=""),"",_xlfn.XLOOKUP($G106,Labor_Rates!$A$3:$A$7,Labor_Rates!$B$3:$B$7,""))</f>
        <v/>
      </c>
      <c r="E106" s="25" t="str">
        <f t="shared" si="1"/>
        <v/>
      </c>
      <c r="G106" s="25"/>
    </row>
    <row r="107" ht="15.75" customHeight="1">
      <c r="A107" s="25"/>
      <c r="D107" s="25" t="str">
        <f t="array" ref="D107">IF(OR($A107="",$G107=""),"",_xlfn.XLOOKUP($G107,Labor_Rates!$A$3:$A$7,Labor_Rates!$B$3:$B$7,""))</f>
        <v/>
      </c>
      <c r="E107" s="25" t="str">
        <f t="shared" si="1"/>
        <v/>
      </c>
      <c r="G107" s="25"/>
    </row>
    <row r="108" ht="15.75" customHeight="1">
      <c r="A108" s="25"/>
      <c r="D108" s="25" t="str">
        <f t="array" ref="D108">IF(OR($A108="",$G108=""),"",_xlfn.XLOOKUP($G108,Labor_Rates!$A$3:$A$7,Labor_Rates!$B$3:$B$7,""))</f>
        <v/>
      </c>
      <c r="E108" s="25" t="str">
        <f t="shared" si="1"/>
        <v/>
      </c>
      <c r="G108" s="25"/>
    </row>
    <row r="109" ht="15.75" customHeight="1">
      <c r="A109" s="25"/>
      <c r="D109" s="25" t="str">
        <f t="array" ref="D109">IF(OR($A109="",$G109=""),"",_xlfn.XLOOKUP($G109,Labor_Rates!$A$3:$A$7,Labor_Rates!$B$3:$B$7,""))</f>
        <v/>
      </c>
      <c r="E109" s="25" t="str">
        <f t="shared" si="1"/>
        <v/>
      </c>
      <c r="G109" s="25"/>
    </row>
    <row r="110" ht="15.75" customHeight="1">
      <c r="A110" s="25"/>
      <c r="D110" s="25" t="str">
        <f t="array" ref="D110">IF(OR($A110="",$G110=""),"",_xlfn.XLOOKUP($G110,Labor_Rates!$A$3:$A$7,Labor_Rates!$B$3:$B$7,""))</f>
        <v/>
      </c>
      <c r="E110" s="25" t="str">
        <f t="shared" si="1"/>
        <v/>
      </c>
      <c r="G110" s="25"/>
    </row>
    <row r="111" ht="15.75" customHeight="1">
      <c r="A111" s="25"/>
      <c r="D111" s="25" t="str">
        <f t="array" ref="D111">IF(OR($A111="",$G111=""),"",_xlfn.XLOOKUP($G111,Labor_Rates!$A$3:$A$7,Labor_Rates!$B$3:$B$7,""))</f>
        <v/>
      </c>
      <c r="E111" s="25" t="str">
        <f t="shared" si="1"/>
        <v/>
      </c>
      <c r="G111" s="25"/>
    </row>
    <row r="112" ht="15.75" customHeight="1">
      <c r="A112" s="25"/>
      <c r="D112" s="25" t="str">
        <f t="array" ref="D112">IF(OR($A112="",$G112=""),"",_xlfn.XLOOKUP($G112,Labor_Rates!$A$3:$A$7,Labor_Rates!$B$3:$B$7,""))</f>
        <v/>
      </c>
      <c r="E112" s="25" t="str">
        <f t="shared" si="1"/>
        <v/>
      </c>
      <c r="G112" s="25"/>
    </row>
    <row r="113" ht="15.75" customHeight="1">
      <c r="A113" s="25"/>
      <c r="D113" s="25" t="str">
        <f t="array" ref="D113">IF(OR($A113="",$G113=""),"",_xlfn.XLOOKUP($G113,Labor_Rates!$A$3:$A$7,Labor_Rates!$B$3:$B$7,""))</f>
        <v/>
      </c>
      <c r="E113" s="25" t="str">
        <f t="shared" si="1"/>
        <v/>
      </c>
      <c r="G113" s="25"/>
    </row>
    <row r="114" ht="15.75" customHeight="1">
      <c r="A114" s="25"/>
      <c r="D114" s="25" t="str">
        <f t="array" ref="D114">IF(OR($A114="",$G114=""),"",_xlfn.XLOOKUP($G114,Labor_Rates!$A$3:$A$7,Labor_Rates!$B$3:$B$7,""))</f>
        <v/>
      </c>
      <c r="E114" s="25" t="str">
        <f t="shared" si="1"/>
        <v/>
      </c>
      <c r="G114" s="25"/>
    </row>
    <row r="115" ht="15.75" customHeight="1">
      <c r="A115" s="25"/>
      <c r="D115" s="25" t="str">
        <f t="array" ref="D115">IF(OR($A115="",$G115=""),"",_xlfn.XLOOKUP($G115,Labor_Rates!$A$3:$A$7,Labor_Rates!$B$3:$B$7,""))</f>
        <v/>
      </c>
      <c r="E115" s="25" t="str">
        <f t="shared" si="1"/>
        <v/>
      </c>
      <c r="G115" s="25"/>
    </row>
    <row r="116" ht="15.75" customHeight="1">
      <c r="A116" s="25"/>
      <c r="D116" s="25" t="str">
        <f t="array" ref="D116">IF(OR($A116="",$G116=""),"",_xlfn.XLOOKUP($G116,Labor_Rates!$A$3:$A$7,Labor_Rates!$B$3:$B$7,""))</f>
        <v/>
      </c>
      <c r="E116" s="25" t="str">
        <f t="shared" si="1"/>
        <v/>
      </c>
      <c r="G116" s="25"/>
    </row>
    <row r="117" ht="15.75" customHeight="1">
      <c r="A117" s="25"/>
      <c r="D117" s="25" t="str">
        <f t="array" ref="D117">IF(OR($A117="",$G117=""),"",_xlfn.XLOOKUP($G117,Labor_Rates!$A$3:$A$7,Labor_Rates!$B$3:$B$7,""))</f>
        <v/>
      </c>
      <c r="E117" s="25" t="str">
        <f t="shared" si="1"/>
        <v/>
      </c>
      <c r="G117" s="25"/>
    </row>
    <row r="118" ht="15.75" customHeight="1">
      <c r="A118" s="25"/>
      <c r="D118" s="25" t="str">
        <f t="array" ref="D118">IF(OR($A118="",$G118=""),"",_xlfn.XLOOKUP($G118,Labor_Rates!$A$3:$A$7,Labor_Rates!$B$3:$B$7,""))</f>
        <v/>
      </c>
      <c r="E118" s="25" t="str">
        <f t="shared" si="1"/>
        <v/>
      </c>
      <c r="G118" s="25"/>
    </row>
    <row r="119" ht="15.75" customHeight="1">
      <c r="A119" s="25"/>
      <c r="D119" s="25" t="str">
        <f t="array" ref="D119">IF(OR($A119="",$G119=""),"",_xlfn.XLOOKUP($G119,Labor_Rates!$A$3:$A$7,Labor_Rates!$B$3:$B$7,""))</f>
        <v/>
      </c>
      <c r="E119" s="25" t="str">
        <f t="shared" si="1"/>
        <v/>
      </c>
      <c r="G119" s="25"/>
    </row>
    <row r="120" ht="15.75" customHeight="1">
      <c r="A120" s="25"/>
      <c r="D120" s="25" t="str">
        <f t="array" ref="D120">IF(OR($A120="",$G120=""),"",_xlfn.XLOOKUP($G120,Labor_Rates!$A$3:$A$7,Labor_Rates!$B$3:$B$7,""))</f>
        <v/>
      </c>
      <c r="E120" s="25" t="str">
        <f t="shared" si="1"/>
        <v/>
      </c>
      <c r="G120" s="25"/>
    </row>
    <row r="121" ht="15.75" customHeight="1">
      <c r="A121" s="25"/>
      <c r="D121" s="25" t="str">
        <f t="array" ref="D121">IF(OR($A121="",$G121=""),"",_xlfn.XLOOKUP($G121,Labor_Rates!$A$3:$A$7,Labor_Rates!$B$3:$B$7,""))</f>
        <v/>
      </c>
      <c r="E121" s="25" t="str">
        <f t="shared" si="1"/>
        <v/>
      </c>
      <c r="G121" s="25"/>
    </row>
    <row r="122" ht="15.75" customHeight="1">
      <c r="A122" s="25"/>
      <c r="D122" s="25" t="str">
        <f t="array" ref="D122">IF(OR($A122="",$G122=""),"",_xlfn.XLOOKUP($G122,Labor_Rates!$A$3:$A$7,Labor_Rates!$B$3:$B$7,""))</f>
        <v/>
      </c>
      <c r="E122" s="25" t="str">
        <f t="shared" si="1"/>
        <v/>
      </c>
      <c r="G122" s="25"/>
    </row>
    <row r="123" ht="15.75" customHeight="1">
      <c r="A123" s="25"/>
      <c r="D123" s="25" t="str">
        <f t="array" ref="D123">IF(OR($A123="",$G123=""),"",_xlfn.XLOOKUP($G123,Labor_Rates!$A$3:$A$7,Labor_Rates!$B$3:$B$7,""))</f>
        <v/>
      </c>
      <c r="E123" s="25" t="str">
        <f t="shared" si="1"/>
        <v/>
      </c>
      <c r="G123" s="25"/>
    </row>
    <row r="124" ht="15.75" customHeight="1">
      <c r="A124" s="25"/>
      <c r="D124" s="25" t="str">
        <f t="array" ref="D124">IF(OR($A124="",$G124=""),"",_xlfn.XLOOKUP($G124,Labor_Rates!$A$3:$A$7,Labor_Rates!$B$3:$B$7,""))</f>
        <v/>
      </c>
      <c r="E124" s="25" t="str">
        <f t="shared" si="1"/>
        <v/>
      </c>
      <c r="G124" s="25"/>
    </row>
    <row r="125" ht="15.75" customHeight="1">
      <c r="A125" s="25"/>
      <c r="D125" s="25" t="str">
        <f t="array" ref="D125">IF(OR($A125="",$G125=""),"",_xlfn.XLOOKUP($G125,Labor_Rates!$A$3:$A$7,Labor_Rates!$B$3:$B$7,""))</f>
        <v/>
      </c>
      <c r="E125" s="25" t="str">
        <f t="shared" si="1"/>
        <v/>
      </c>
      <c r="G125" s="25"/>
    </row>
    <row r="126" ht="15.75" customHeight="1">
      <c r="A126" s="25"/>
      <c r="D126" s="25" t="str">
        <f t="array" ref="D126">IF(OR($A126="",$G126=""),"",_xlfn.XLOOKUP($G126,Labor_Rates!$A$3:$A$7,Labor_Rates!$B$3:$B$7,""))</f>
        <v/>
      </c>
      <c r="E126" s="25" t="str">
        <f t="shared" si="1"/>
        <v/>
      </c>
      <c r="G126" s="25"/>
    </row>
    <row r="127" ht="15.75" customHeight="1">
      <c r="A127" s="25"/>
      <c r="D127" s="25" t="str">
        <f t="array" ref="D127">IF(OR($A127="",$G127=""),"",_xlfn.XLOOKUP($G127,Labor_Rates!$A$3:$A$7,Labor_Rates!$B$3:$B$7,""))</f>
        <v/>
      </c>
      <c r="E127" s="25" t="str">
        <f t="shared" si="1"/>
        <v/>
      </c>
      <c r="G127" s="25"/>
    </row>
    <row r="128" ht="15.75" customHeight="1">
      <c r="A128" s="25"/>
      <c r="D128" s="25" t="str">
        <f t="array" ref="D128">IF(OR($A128="",$G128=""),"",_xlfn.XLOOKUP($G128,Labor_Rates!$A$3:$A$7,Labor_Rates!$B$3:$B$7,""))</f>
        <v/>
      </c>
      <c r="E128" s="25" t="str">
        <f t="shared" si="1"/>
        <v/>
      </c>
      <c r="G128" s="25"/>
    </row>
    <row r="129" ht="15.75" customHeight="1">
      <c r="A129" s="25"/>
      <c r="D129" s="25" t="str">
        <f t="array" ref="D129">IF(OR($A129="",$G129=""),"",_xlfn.XLOOKUP($G129,Labor_Rates!$A$3:$A$7,Labor_Rates!$B$3:$B$7,""))</f>
        <v/>
      </c>
      <c r="E129" s="25" t="str">
        <f t="shared" si="1"/>
        <v/>
      </c>
      <c r="G129" s="25"/>
    </row>
    <row r="130" ht="15.75" customHeight="1">
      <c r="A130" s="25"/>
      <c r="D130" s="25" t="str">
        <f t="array" ref="D130">IF(OR($A130="",$G130=""),"",_xlfn.XLOOKUP($G130,Labor_Rates!$A$3:$A$7,Labor_Rates!$B$3:$B$7,""))</f>
        <v/>
      </c>
      <c r="E130" s="25" t="str">
        <f t="shared" si="1"/>
        <v/>
      </c>
      <c r="G130" s="25"/>
    </row>
    <row r="131" ht="15.75" customHeight="1">
      <c r="A131" s="25"/>
      <c r="D131" s="25" t="str">
        <f t="array" ref="D131">IF(OR($A131="",$G131=""),"",_xlfn.XLOOKUP($G131,Labor_Rates!$A$3:$A$7,Labor_Rates!$B$3:$B$7,""))</f>
        <v/>
      </c>
      <c r="E131" s="25" t="str">
        <f t="shared" si="1"/>
        <v/>
      </c>
      <c r="G131" s="25"/>
    </row>
    <row r="132" ht="15.75" customHeight="1">
      <c r="A132" s="25"/>
      <c r="D132" s="25" t="str">
        <f t="array" ref="D132">IF(OR($A132="",$G132=""),"",_xlfn.XLOOKUP($G132,Labor_Rates!$A$3:$A$7,Labor_Rates!$B$3:$B$7,""))</f>
        <v/>
      </c>
      <c r="E132" s="25" t="str">
        <f t="shared" si="1"/>
        <v/>
      </c>
      <c r="G132" s="25"/>
    </row>
    <row r="133" ht="15.75" customHeight="1">
      <c r="A133" s="25"/>
      <c r="D133" s="25" t="str">
        <f t="array" ref="D133">IF(OR($A133="",$G133=""),"",_xlfn.XLOOKUP($G133,Labor_Rates!$A$3:$A$7,Labor_Rates!$B$3:$B$7,""))</f>
        <v/>
      </c>
      <c r="E133" s="25" t="str">
        <f t="shared" si="1"/>
        <v/>
      </c>
      <c r="G133" s="25"/>
    </row>
    <row r="134" ht="15.75" customHeight="1">
      <c r="A134" s="25"/>
      <c r="D134" s="25" t="str">
        <f t="array" ref="D134">IF(OR($A134="",$G134=""),"",_xlfn.XLOOKUP($G134,Labor_Rates!$A$3:$A$7,Labor_Rates!$B$3:$B$7,""))</f>
        <v/>
      </c>
      <c r="E134" s="25" t="str">
        <f t="shared" si="1"/>
        <v/>
      </c>
      <c r="G134" s="25"/>
    </row>
    <row r="135" ht="15.75" customHeight="1">
      <c r="A135" s="25"/>
      <c r="D135" s="25" t="str">
        <f t="array" ref="D135">IF(OR($A135="",$G135=""),"",_xlfn.XLOOKUP($G135,Labor_Rates!$A$3:$A$7,Labor_Rates!$B$3:$B$7,""))</f>
        <v/>
      </c>
      <c r="E135" s="25" t="str">
        <f t="shared" si="1"/>
        <v/>
      </c>
      <c r="G135" s="25"/>
    </row>
    <row r="136" ht="15.75" customHeight="1">
      <c r="A136" s="25"/>
      <c r="D136" s="25" t="str">
        <f t="array" ref="D136">IF(OR($A136="",$G136=""),"",_xlfn.XLOOKUP($G136,Labor_Rates!$A$3:$A$7,Labor_Rates!$B$3:$B$7,""))</f>
        <v/>
      </c>
      <c r="E136" s="25" t="str">
        <f t="shared" si="1"/>
        <v/>
      </c>
      <c r="G136" s="25"/>
    </row>
    <row r="137" ht="15.75" customHeight="1">
      <c r="A137" s="25"/>
      <c r="D137" s="25" t="str">
        <f t="array" ref="D137">IF(OR($A137="",$G137=""),"",_xlfn.XLOOKUP($G137,Labor_Rates!$A$3:$A$7,Labor_Rates!$B$3:$B$7,""))</f>
        <v/>
      </c>
      <c r="E137" s="25" t="str">
        <f t="shared" si="1"/>
        <v/>
      </c>
      <c r="G137" s="25"/>
    </row>
    <row r="138" ht="15.75" customHeight="1">
      <c r="A138" s="25"/>
      <c r="D138" s="25" t="str">
        <f t="array" ref="D138">IF(OR($A138="",$G138=""),"",_xlfn.XLOOKUP($G138,Labor_Rates!$A$3:$A$7,Labor_Rates!$B$3:$B$7,""))</f>
        <v/>
      </c>
      <c r="E138" s="25" t="str">
        <f t="shared" si="1"/>
        <v/>
      </c>
      <c r="G138" s="25"/>
    </row>
    <row r="139" ht="15.75" customHeight="1">
      <c r="A139" s="25"/>
      <c r="D139" s="25" t="str">
        <f t="array" ref="D139">IF(OR($A139="",$G139=""),"",_xlfn.XLOOKUP($G139,Labor_Rates!$A$3:$A$7,Labor_Rates!$B$3:$B$7,""))</f>
        <v/>
      </c>
      <c r="E139" s="25" t="str">
        <f t="shared" si="1"/>
        <v/>
      </c>
      <c r="G139" s="25"/>
    </row>
    <row r="140" ht="15.75" customHeight="1">
      <c r="A140" s="25"/>
      <c r="D140" s="25" t="str">
        <f t="array" ref="D140">IF(OR($A140="",$G140=""),"",_xlfn.XLOOKUP($G140,Labor_Rates!$A$3:$A$7,Labor_Rates!$B$3:$B$7,""))</f>
        <v/>
      </c>
      <c r="E140" s="25" t="str">
        <f t="shared" si="1"/>
        <v/>
      </c>
      <c r="G140" s="25"/>
    </row>
    <row r="141" ht="15.75" customHeight="1">
      <c r="A141" s="25"/>
      <c r="D141" s="25" t="str">
        <f t="array" ref="D141">IF(OR($A141="",$G141=""),"",_xlfn.XLOOKUP($G141,Labor_Rates!$A$3:$A$7,Labor_Rates!$B$3:$B$7,""))</f>
        <v/>
      </c>
      <c r="E141" s="25" t="str">
        <f t="shared" si="1"/>
        <v/>
      </c>
      <c r="G141" s="25"/>
    </row>
    <row r="142" ht="15.75" customHeight="1">
      <c r="A142" s="25"/>
      <c r="D142" s="25" t="str">
        <f t="array" ref="D142">IF(OR($A142="",$G142=""),"",_xlfn.XLOOKUP($G142,Labor_Rates!$A$3:$A$7,Labor_Rates!$B$3:$B$7,""))</f>
        <v/>
      </c>
      <c r="E142" s="25" t="str">
        <f t="shared" si="1"/>
        <v/>
      </c>
      <c r="G142" s="25"/>
    </row>
    <row r="143" ht="15.75" customHeight="1">
      <c r="A143" s="25"/>
      <c r="D143" s="25" t="str">
        <f t="array" ref="D143">IF(OR($A143="",$G143=""),"",_xlfn.XLOOKUP($G143,Labor_Rates!$A$3:$A$7,Labor_Rates!$B$3:$B$7,""))</f>
        <v/>
      </c>
      <c r="E143" s="25" t="str">
        <f t="shared" si="1"/>
        <v/>
      </c>
      <c r="G143" s="25"/>
    </row>
    <row r="144" ht="15.75" customHeight="1">
      <c r="A144" s="25"/>
      <c r="D144" s="25" t="str">
        <f t="array" ref="D144">IF(OR($A144="",$G144=""),"",_xlfn.XLOOKUP($G144,Labor_Rates!$A$3:$A$7,Labor_Rates!$B$3:$B$7,""))</f>
        <v/>
      </c>
      <c r="E144" s="25" t="str">
        <f t="shared" si="1"/>
        <v/>
      </c>
      <c r="G144" s="25"/>
    </row>
    <row r="145" ht="15.75" customHeight="1">
      <c r="A145" s="25"/>
      <c r="D145" s="25" t="str">
        <f t="array" ref="D145">IF(OR($A145="",$G145=""),"",_xlfn.XLOOKUP($G145,Labor_Rates!$A$3:$A$7,Labor_Rates!$B$3:$B$7,""))</f>
        <v/>
      </c>
      <c r="E145" s="25" t="str">
        <f t="shared" si="1"/>
        <v/>
      </c>
      <c r="G145" s="25"/>
    </row>
    <row r="146" ht="15.75" customHeight="1">
      <c r="A146" s="25"/>
      <c r="D146" s="25" t="str">
        <f t="array" ref="D146">IF(OR($A146="",$G146=""),"",_xlfn.XLOOKUP($G146,Labor_Rates!$A$3:$A$7,Labor_Rates!$B$3:$B$7,""))</f>
        <v/>
      </c>
      <c r="E146" s="25" t="str">
        <f t="shared" si="1"/>
        <v/>
      </c>
      <c r="G146" s="25"/>
    </row>
    <row r="147" ht="15.75" customHeight="1">
      <c r="A147" s="25"/>
      <c r="D147" s="25" t="str">
        <f t="array" ref="D147">IF(OR($A147="",$G147=""),"",_xlfn.XLOOKUP($G147,Labor_Rates!$A$3:$A$7,Labor_Rates!$B$3:$B$7,""))</f>
        <v/>
      </c>
      <c r="E147" s="25" t="str">
        <f t="shared" si="1"/>
        <v/>
      </c>
      <c r="G147" s="25"/>
    </row>
    <row r="148" ht="15.75" customHeight="1">
      <c r="A148" s="25"/>
      <c r="D148" s="25" t="str">
        <f t="array" ref="D148">IF(OR($A148="",$G148=""),"",_xlfn.XLOOKUP($G148,Labor_Rates!$A$3:$A$7,Labor_Rates!$B$3:$B$7,""))</f>
        <v/>
      </c>
      <c r="E148" s="25" t="str">
        <f t="shared" si="1"/>
        <v/>
      </c>
      <c r="G148" s="25"/>
    </row>
    <row r="149" ht="15.75" customHeight="1">
      <c r="A149" s="25"/>
      <c r="D149" s="25" t="str">
        <f t="array" ref="D149">IF(OR($A149="",$G149=""),"",_xlfn.XLOOKUP($G149,Labor_Rates!$A$3:$A$7,Labor_Rates!$B$3:$B$7,""))</f>
        <v/>
      </c>
      <c r="E149" s="25" t="str">
        <f t="shared" si="1"/>
        <v/>
      </c>
      <c r="G149" s="25"/>
    </row>
    <row r="150" ht="15.75" customHeight="1">
      <c r="A150" s="25"/>
      <c r="D150" s="25" t="str">
        <f t="array" ref="D150">IF(OR($A150="",$G150=""),"",_xlfn.XLOOKUP($G150,Labor_Rates!$A$3:$A$7,Labor_Rates!$B$3:$B$7,""))</f>
        <v/>
      </c>
      <c r="E150" s="25" t="str">
        <f t="shared" si="1"/>
        <v/>
      </c>
      <c r="G150" s="25"/>
    </row>
    <row r="151" ht="15.75" customHeight="1">
      <c r="A151" s="25"/>
      <c r="D151" s="25" t="str">
        <f t="array" ref="D151">IF(OR($A151="",$G151=""),"",_xlfn.XLOOKUP($G151,Labor_Rates!$A$3:$A$7,Labor_Rates!$B$3:$B$7,""))</f>
        <v/>
      </c>
      <c r="E151" s="25" t="str">
        <f t="shared" si="1"/>
        <v/>
      </c>
      <c r="G151" s="25"/>
    </row>
    <row r="152" ht="15.75" customHeight="1">
      <c r="A152" s="25"/>
      <c r="D152" s="25" t="str">
        <f t="array" ref="D152">IF(OR($A152="",$G152=""),"",_xlfn.XLOOKUP($G152,Labor_Rates!$A$3:$A$7,Labor_Rates!$B$3:$B$7,""))</f>
        <v/>
      </c>
      <c r="E152" s="25" t="str">
        <f t="shared" si="1"/>
        <v/>
      </c>
      <c r="G152" s="25"/>
    </row>
    <row r="153" ht="15.75" customHeight="1">
      <c r="A153" s="25"/>
      <c r="D153" s="25" t="str">
        <f t="array" ref="D153">IF(OR($A153="",$G153=""),"",_xlfn.XLOOKUP($G153,Labor_Rates!$A$3:$A$7,Labor_Rates!$B$3:$B$7,""))</f>
        <v/>
      </c>
      <c r="E153" s="25" t="str">
        <f t="shared" si="1"/>
        <v/>
      </c>
      <c r="G153" s="25"/>
    </row>
    <row r="154" ht="15.75" customHeight="1">
      <c r="A154" s="25"/>
      <c r="D154" s="25" t="str">
        <f t="array" ref="D154">IF(OR($A154="",$G154=""),"",_xlfn.XLOOKUP($G154,Labor_Rates!$A$3:$A$7,Labor_Rates!$B$3:$B$7,""))</f>
        <v/>
      </c>
      <c r="E154" s="25" t="str">
        <f t="shared" si="1"/>
        <v/>
      </c>
      <c r="G154" s="25"/>
    </row>
    <row r="155" ht="15.75" customHeight="1">
      <c r="A155" s="25"/>
      <c r="D155" s="25" t="str">
        <f t="array" ref="D155">IF(OR($A155="",$G155=""),"",_xlfn.XLOOKUP($G155,Labor_Rates!$A$3:$A$7,Labor_Rates!$B$3:$B$7,""))</f>
        <v/>
      </c>
      <c r="E155" s="25" t="str">
        <f t="shared" si="1"/>
        <v/>
      </c>
      <c r="G155" s="25"/>
    </row>
    <row r="156" ht="15.75" customHeight="1">
      <c r="A156" s="25"/>
      <c r="D156" s="25" t="str">
        <f t="array" ref="D156">IF(OR($A156="",$G156=""),"",_xlfn.XLOOKUP($G156,Labor_Rates!$A$3:$A$7,Labor_Rates!$B$3:$B$7,""))</f>
        <v/>
      </c>
      <c r="E156" s="25" t="str">
        <f t="shared" si="1"/>
        <v/>
      </c>
      <c r="G156" s="25"/>
    </row>
    <row r="157" ht="15.75" customHeight="1">
      <c r="A157" s="25"/>
      <c r="D157" s="25" t="str">
        <f t="array" ref="D157">IF(OR($A157="",$G157=""),"",_xlfn.XLOOKUP($G157,Labor_Rates!$A$3:$A$7,Labor_Rates!$B$3:$B$7,""))</f>
        <v/>
      </c>
      <c r="E157" s="25" t="str">
        <f t="shared" si="1"/>
        <v/>
      </c>
      <c r="G157" s="25"/>
    </row>
    <row r="158" ht="15.75" customHeight="1">
      <c r="A158" s="25"/>
      <c r="D158" s="25" t="str">
        <f t="array" ref="D158">IF(OR($A158="",$G158=""),"",_xlfn.XLOOKUP($G158,Labor_Rates!$A$3:$A$7,Labor_Rates!$B$3:$B$7,""))</f>
        <v/>
      </c>
      <c r="E158" s="25" t="str">
        <f t="shared" si="1"/>
        <v/>
      </c>
      <c r="G158" s="25"/>
    </row>
    <row r="159" ht="15.75" customHeight="1">
      <c r="A159" s="25"/>
      <c r="D159" s="25" t="str">
        <f t="array" ref="D159">IF(OR($A159="",$G159=""),"",_xlfn.XLOOKUP($G159,Labor_Rates!$A$3:$A$7,Labor_Rates!$B$3:$B$7,""))</f>
        <v/>
      </c>
      <c r="E159" s="25" t="str">
        <f t="shared" si="1"/>
        <v/>
      </c>
      <c r="G159" s="25"/>
    </row>
    <row r="160" ht="15.75" customHeight="1">
      <c r="A160" s="25"/>
      <c r="D160" s="25" t="str">
        <f t="array" ref="D160">IF(OR($A160="",$G160=""),"",_xlfn.XLOOKUP($G160,Labor_Rates!$A$3:$A$7,Labor_Rates!$B$3:$B$7,""))</f>
        <v/>
      </c>
      <c r="E160" s="25" t="str">
        <f t="shared" si="1"/>
        <v/>
      </c>
      <c r="G160" s="25"/>
    </row>
    <row r="161" ht="15.75" customHeight="1">
      <c r="A161" s="25"/>
      <c r="D161" s="25" t="str">
        <f t="array" ref="D161">IF(OR($A161="",$G161=""),"",_xlfn.XLOOKUP($G161,Labor_Rates!$A$3:$A$7,Labor_Rates!$B$3:$B$7,""))</f>
        <v/>
      </c>
      <c r="E161" s="25" t="str">
        <f t="shared" si="1"/>
        <v/>
      </c>
      <c r="G161" s="25"/>
    </row>
    <row r="162" ht="15.75" customHeight="1">
      <c r="A162" s="25"/>
      <c r="D162" s="25" t="str">
        <f t="array" ref="D162">IF(OR($A162="",$G162=""),"",_xlfn.XLOOKUP($G162,Labor_Rates!$A$3:$A$7,Labor_Rates!$B$3:$B$7,""))</f>
        <v/>
      </c>
      <c r="E162" s="25" t="str">
        <f t="shared" si="1"/>
        <v/>
      </c>
      <c r="G162" s="25"/>
    </row>
    <row r="163" ht="15.75" customHeight="1">
      <c r="A163" s="25"/>
      <c r="D163" s="25" t="str">
        <f t="array" ref="D163">IF(OR($A163="",$G163=""),"",_xlfn.XLOOKUP($G163,Labor_Rates!$A$3:$A$7,Labor_Rates!$B$3:$B$7,""))</f>
        <v/>
      </c>
      <c r="E163" s="25" t="str">
        <f t="shared" si="1"/>
        <v/>
      </c>
      <c r="G163" s="25"/>
    </row>
    <row r="164" ht="15.75" customHeight="1">
      <c r="A164" s="25"/>
      <c r="D164" s="25" t="str">
        <f t="array" ref="D164">IF(OR($A164="",$G164=""),"",_xlfn.XLOOKUP($G164,Labor_Rates!$A$3:$A$7,Labor_Rates!$B$3:$B$7,""))</f>
        <v/>
      </c>
      <c r="E164" s="25" t="str">
        <f t="shared" si="1"/>
        <v/>
      </c>
      <c r="G164" s="25"/>
    </row>
    <row r="165" ht="15.75" customHeight="1">
      <c r="A165" s="25"/>
      <c r="D165" s="25" t="str">
        <f t="array" ref="D165">IF(OR($A165="",$G165=""),"",_xlfn.XLOOKUP($G165,Labor_Rates!$A$3:$A$7,Labor_Rates!$B$3:$B$7,""))</f>
        <v/>
      </c>
      <c r="E165" s="25" t="str">
        <f t="shared" si="1"/>
        <v/>
      </c>
      <c r="G165" s="25"/>
    </row>
    <row r="166" ht="15.75" customHeight="1">
      <c r="A166" s="25"/>
      <c r="D166" s="25" t="str">
        <f t="array" ref="D166">IF(OR($A166="",$G166=""),"",_xlfn.XLOOKUP($G166,Labor_Rates!$A$3:$A$7,Labor_Rates!$B$3:$B$7,""))</f>
        <v/>
      </c>
      <c r="E166" s="25" t="str">
        <f t="shared" si="1"/>
        <v/>
      </c>
      <c r="G166" s="25"/>
    </row>
    <row r="167" ht="15.75" customHeight="1">
      <c r="A167" s="25"/>
      <c r="D167" s="25" t="str">
        <f t="array" ref="D167">IF(OR($A167="",$G167=""),"",_xlfn.XLOOKUP($G167,Labor_Rates!$A$3:$A$7,Labor_Rates!$B$3:$B$7,""))</f>
        <v/>
      </c>
      <c r="E167" s="25" t="str">
        <f t="shared" si="1"/>
        <v/>
      </c>
      <c r="G167" s="25"/>
    </row>
    <row r="168" ht="15.75" customHeight="1">
      <c r="A168" s="25"/>
      <c r="D168" s="25" t="str">
        <f t="array" ref="D168">IF(OR($A168="",$G168=""),"",_xlfn.XLOOKUP($G168,Labor_Rates!$A$3:$A$7,Labor_Rates!$B$3:$B$7,""))</f>
        <v/>
      </c>
      <c r="E168" s="25" t="str">
        <f t="shared" si="1"/>
        <v/>
      </c>
      <c r="G168" s="25"/>
    </row>
    <row r="169" ht="15.75" customHeight="1">
      <c r="A169" s="25"/>
      <c r="D169" s="25" t="str">
        <f t="array" ref="D169">IF(OR($A169="",$G169=""),"",_xlfn.XLOOKUP($G169,Labor_Rates!$A$3:$A$7,Labor_Rates!$B$3:$B$7,""))</f>
        <v/>
      </c>
      <c r="E169" s="25" t="str">
        <f t="shared" si="1"/>
        <v/>
      </c>
      <c r="G169" s="25"/>
    </row>
    <row r="170" ht="15.75" customHeight="1">
      <c r="A170" s="25"/>
      <c r="D170" s="25" t="str">
        <f t="array" ref="D170">IF(OR($A170="",$G170=""),"",_xlfn.XLOOKUP($G170,Labor_Rates!$A$3:$A$7,Labor_Rates!$B$3:$B$7,""))</f>
        <v/>
      </c>
      <c r="E170" s="25" t="str">
        <f t="shared" si="1"/>
        <v/>
      </c>
      <c r="G170" s="25"/>
    </row>
    <row r="171" ht="15.75" customHeight="1">
      <c r="A171" s="25"/>
      <c r="D171" s="25" t="str">
        <f t="array" ref="D171">IF(OR($A171="",$G171=""),"",_xlfn.XLOOKUP($G171,Labor_Rates!$A$3:$A$7,Labor_Rates!$B$3:$B$7,""))</f>
        <v/>
      </c>
      <c r="E171" s="25" t="str">
        <f t="shared" si="1"/>
        <v/>
      </c>
      <c r="G171" s="25"/>
    </row>
    <row r="172" ht="15.75" customHeight="1">
      <c r="A172" s="25"/>
      <c r="D172" s="25" t="str">
        <f t="array" ref="D172">IF(OR($A172="",$G172=""),"",_xlfn.XLOOKUP($G172,Labor_Rates!$A$3:$A$7,Labor_Rates!$B$3:$B$7,""))</f>
        <v/>
      </c>
      <c r="E172" s="25" t="str">
        <f t="shared" si="1"/>
        <v/>
      </c>
      <c r="G172" s="25"/>
    </row>
    <row r="173" ht="15.75" customHeight="1">
      <c r="A173" s="25"/>
      <c r="D173" s="25" t="str">
        <f t="array" ref="D173">IF(OR($A173="",$G173=""),"",_xlfn.XLOOKUP($G173,Labor_Rates!$A$3:$A$7,Labor_Rates!$B$3:$B$7,""))</f>
        <v/>
      </c>
      <c r="E173" s="25" t="str">
        <f t="shared" si="1"/>
        <v/>
      </c>
      <c r="G173" s="25"/>
    </row>
    <row r="174" ht="15.75" customHeight="1">
      <c r="A174" s="25"/>
      <c r="D174" s="25" t="str">
        <f t="array" ref="D174">IF(OR($A174="",$G174=""),"",_xlfn.XLOOKUP($G174,Labor_Rates!$A$3:$A$7,Labor_Rates!$B$3:$B$7,""))</f>
        <v/>
      </c>
      <c r="E174" s="25" t="str">
        <f t="shared" si="1"/>
        <v/>
      </c>
      <c r="G174" s="25"/>
    </row>
    <row r="175" ht="15.75" customHeight="1">
      <c r="A175" s="25"/>
      <c r="D175" s="25" t="str">
        <f t="array" ref="D175">IF(OR($A175="",$G175=""),"",_xlfn.XLOOKUP($G175,Labor_Rates!$A$3:$A$7,Labor_Rates!$B$3:$B$7,""))</f>
        <v/>
      </c>
      <c r="E175" s="25" t="str">
        <f t="shared" si="1"/>
        <v/>
      </c>
      <c r="G175" s="25"/>
    </row>
    <row r="176" ht="15.75" customHeight="1">
      <c r="A176" s="25"/>
      <c r="D176" s="25" t="str">
        <f t="array" ref="D176">IF(OR($A176="",$G176=""),"",_xlfn.XLOOKUP($G176,Labor_Rates!$A$3:$A$7,Labor_Rates!$B$3:$B$7,""))</f>
        <v/>
      </c>
      <c r="E176" s="25" t="str">
        <f t="shared" si="1"/>
        <v/>
      </c>
      <c r="G176" s="25"/>
    </row>
    <row r="177" ht="15.75" customHeight="1">
      <c r="A177" s="25"/>
      <c r="D177" s="25" t="str">
        <f t="array" ref="D177">IF(OR($A177="",$G177=""),"",_xlfn.XLOOKUP($G177,Labor_Rates!$A$3:$A$7,Labor_Rates!$B$3:$B$7,""))</f>
        <v/>
      </c>
      <c r="E177" s="25" t="str">
        <f t="shared" si="1"/>
        <v/>
      </c>
      <c r="G177" s="25"/>
    </row>
    <row r="178" ht="15.75" customHeight="1">
      <c r="A178" s="25"/>
      <c r="D178" s="25" t="str">
        <f t="array" ref="D178">IF(OR($A178="",$G178=""),"",_xlfn.XLOOKUP($G178,Labor_Rates!$A$3:$A$7,Labor_Rates!$B$3:$B$7,""))</f>
        <v/>
      </c>
      <c r="E178" s="25" t="str">
        <f t="shared" si="1"/>
        <v/>
      </c>
      <c r="G178" s="25"/>
    </row>
    <row r="179" ht="15.75" customHeight="1">
      <c r="A179" s="25"/>
      <c r="D179" s="25" t="str">
        <f t="array" ref="D179">IF(OR($A179="",$G179=""),"",_xlfn.XLOOKUP($G179,Labor_Rates!$A$3:$A$7,Labor_Rates!$B$3:$B$7,""))</f>
        <v/>
      </c>
      <c r="E179" s="25" t="str">
        <f t="shared" si="1"/>
        <v/>
      </c>
      <c r="G179" s="25"/>
    </row>
    <row r="180" ht="15.75" customHeight="1">
      <c r="A180" s="25"/>
      <c r="D180" s="25" t="str">
        <f t="array" ref="D180">IF(OR($A180="",$G180=""),"",_xlfn.XLOOKUP($G180,Labor_Rates!$A$3:$A$7,Labor_Rates!$B$3:$B$7,""))</f>
        <v/>
      </c>
      <c r="E180" s="25" t="str">
        <f t="shared" si="1"/>
        <v/>
      </c>
      <c r="G180" s="25"/>
    </row>
    <row r="181" ht="15.75" customHeight="1">
      <c r="A181" s="25"/>
      <c r="D181" s="25" t="str">
        <f t="array" ref="D181">IF(OR($A181="",$G181=""),"",_xlfn.XLOOKUP($G181,Labor_Rates!$A$3:$A$7,Labor_Rates!$B$3:$B$7,""))</f>
        <v/>
      </c>
      <c r="E181" s="25" t="str">
        <f t="shared" si="1"/>
        <v/>
      </c>
      <c r="G181" s="25"/>
    </row>
    <row r="182" ht="15.75" customHeight="1">
      <c r="A182" s="25"/>
      <c r="D182" s="25" t="str">
        <f t="array" ref="D182">IF(OR($A182="",$G182=""),"",_xlfn.XLOOKUP($G182,Labor_Rates!$A$3:$A$7,Labor_Rates!$B$3:$B$7,""))</f>
        <v/>
      </c>
      <c r="E182" s="25" t="str">
        <f t="shared" si="1"/>
        <v/>
      </c>
      <c r="G182" s="25"/>
    </row>
    <row r="183" ht="15.75" customHeight="1">
      <c r="A183" s="25"/>
      <c r="D183" s="25" t="str">
        <f t="array" ref="D183">IF(OR($A183="",$G183=""),"",_xlfn.XLOOKUP($G183,Labor_Rates!$A$3:$A$7,Labor_Rates!$B$3:$B$7,""))</f>
        <v/>
      </c>
      <c r="E183" s="25" t="str">
        <f t="shared" si="1"/>
        <v/>
      </c>
      <c r="G183" s="25"/>
    </row>
    <row r="184" ht="15.75" customHeight="1">
      <c r="A184" s="25"/>
      <c r="D184" s="25" t="str">
        <f t="array" ref="D184">IF(OR($A184="",$G184=""),"",_xlfn.XLOOKUP($G184,Labor_Rates!$A$3:$A$7,Labor_Rates!$B$3:$B$7,""))</f>
        <v/>
      </c>
      <c r="E184" s="25" t="str">
        <f t="shared" si="1"/>
        <v/>
      </c>
      <c r="G184" s="25"/>
    </row>
    <row r="185" ht="15.75" customHeight="1">
      <c r="A185" s="25"/>
      <c r="D185" s="25" t="str">
        <f t="array" ref="D185">IF(OR($A185="",$G185=""),"",_xlfn.XLOOKUP($G185,Labor_Rates!$A$3:$A$7,Labor_Rates!$B$3:$B$7,""))</f>
        <v/>
      </c>
      <c r="E185" s="25" t="str">
        <f t="shared" si="1"/>
        <v/>
      </c>
      <c r="G185" s="25"/>
    </row>
    <row r="186" ht="15.75" customHeight="1">
      <c r="A186" s="25"/>
      <c r="D186" s="25" t="str">
        <f t="array" ref="D186">IF(OR($A186="",$G186=""),"",_xlfn.XLOOKUP($G186,Labor_Rates!$A$3:$A$7,Labor_Rates!$B$3:$B$7,""))</f>
        <v/>
      </c>
      <c r="E186" s="25" t="str">
        <f t="shared" si="1"/>
        <v/>
      </c>
      <c r="G186" s="25"/>
    </row>
    <row r="187" ht="15.75" customHeight="1">
      <c r="A187" s="25"/>
      <c r="D187" s="25" t="str">
        <f t="array" ref="D187">IF(OR($A187="",$G187=""),"",_xlfn.XLOOKUP($G187,Labor_Rates!$A$3:$A$7,Labor_Rates!$B$3:$B$7,""))</f>
        <v/>
      </c>
      <c r="E187" s="25" t="str">
        <f t="shared" si="1"/>
        <v/>
      </c>
      <c r="G187" s="25"/>
    </row>
    <row r="188" ht="15.75" customHeight="1">
      <c r="A188" s="25"/>
      <c r="D188" s="25" t="str">
        <f t="array" ref="D188">IF(OR($A188="",$G188=""),"",_xlfn.XLOOKUP($G188,Labor_Rates!$A$3:$A$7,Labor_Rates!$B$3:$B$7,""))</f>
        <v/>
      </c>
      <c r="E188" s="25" t="str">
        <f t="shared" si="1"/>
        <v/>
      </c>
      <c r="G188" s="25"/>
    </row>
    <row r="189" ht="15.75" customHeight="1">
      <c r="A189" s="25"/>
      <c r="D189" s="25" t="str">
        <f t="array" ref="D189">IF(OR($A189="",$G189=""),"",_xlfn.XLOOKUP($G189,Labor_Rates!$A$3:$A$7,Labor_Rates!$B$3:$B$7,""))</f>
        <v/>
      </c>
      <c r="E189" s="25" t="str">
        <f t="shared" si="1"/>
        <v/>
      </c>
      <c r="G189" s="25"/>
    </row>
    <row r="190" ht="15.75" customHeight="1">
      <c r="A190" s="25"/>
      <c r="D190" s="25" t="str">
        <f t="array" ref="D190">IF(OR($A190="",$G190=""),"",_xlfn.XLOOKUP($G190,Labor_Rates!$A$3:$A$7,Labor_Rates!$B$3:$B$7,""))</f>
        <v/>
      </c>
      <c r="E190" s="25" t="str">
        <f t="shared" si="1"/>
        <v/>
      </c>
      <c r="G190" s="25"/>
    </row>
    <row r="191" ht="15.75" customHeight="1">
      <c r="A191" s="25"/>
      <c r="D191" s="25" t="str">
        <f t="array" ref="D191">IF(OR($A191="",$G191=""),"",_xlfn.XLOOKUP($G191,Labor_Rates!$A$3:$A$7,Labor_Rates!$B$3:$B$7,""))</f>
        <v/>
      </c>
      <c r="E191" s="25" t="str">
        <f t="shared" si="1"/>
        <v/>
      </c>
      <c r="G191" s="25"/>
    </row>
    <row r="192" ht="15.75" customHeight="1">
      <c r="A192" s="25"/>
      <c r="D192" s="25" t="str">
        <f t="array" ref="D192">IF(OR($A192="",$G192=""),"",_xlfn.XLOOKUP($G192,Labor_Rates!$A$3:$A$7,Labor_Rates!$B$3:$B$7,""))</f>
        <v/>
      </c>
      <c r="E192" s="25" t="str">
        <f t="shared" si="1"/>
        <v/>
      </c>
      <c r="G192" s="25"/>
    </row>
    <row r="193" ht="15.75" customHeight="1">
      <c r="A193" s="25"/>
      <c r="D193" s="25" t="str">
        <f t="array" ref="D193">IF(OR($A193="",$G193=""),"",_xlfn.XLOOKUP($G193,Labor_Rates!$A$3:$A$7,Labor_Rates!$B$3:$B$7,""))</f>
        <v/>
      </c>
      <c r="E193" s="25" t="str">
        <f t="shared" si="1"/>
        <v/>
      </c>
      <c r="G193" s="25"/>
    </row>
    <row r="194" ht="15.75" customHeight="1">
      <c r="A194" s="25"/>
      <c r="D194" s="25" t="str">
        <f t="array" ref="D194">IF(OR($A194="",$G194=""),"",_xlfn.XLOOKUP($G194,Labor_Rates!$A$3:$A$7,Labor_Rates!$B$3:$B$7,""))</f>
        <v/>
      </c>
      <c r="E194" s="25" t="str">
        <f t="shared" si="1"/>
        <v/>
      </c>
      <c r="G194" s="25"/>
    </row>
    <row r="195" ht="15.75" customHeight="1">
      <c r="A195" s="25"/>
      <c r="D195" s="25" t="str">
        <f t="array" ref="D195">IF(OR($A195="",$G195=""),"",_xlfn.XLOOKUP($G195,Labor_Rates!$A$3:$A$7,Labor_Rates!$B$3:$B$7,""))</f>
        <v/>
      </c>
      <c r="E195" s="25" t="str">
        <f t="shared" si="1"/>
        <v/>
      </c>
      <c r="G195" s="25"/>
    </row>
    <row r="196" ht="15.75" customHeight="1">
      <c r="A196" s="25"/>
      <c r="D196" s="25" t="str">
        <f t="array" ref="D196">IF(OR($A196="",$G196=""),"",_xlfn.XLOOKUP($G196,Labor_Rates!$A$3:$A$7,Labor_Rates!$B$3:$B$7,""))</f>
        <v/>
      </c>
      <c r="E196" s="25" t="str">
        <f t="shared" si="1"/>
        <v/>
      </c>
      <c r="G196" s="25"/>
    </row>
    <row r="197" ht="15.75" customHeight="1">
      <c r="A197" s="25"/>
      <c r="D197" s="25" t="str">
        <f t="array" ref="D197">IF(OR($A197="",$G197=""),"",_xlfn.XLOOKUP($G197,Labor_Rates!$A$3:$A$7,Labor_Rates!$B$3:$B$7,""))</f>
        <v/>
      </c>
      <c r="E197" s="25" t="str">
        <f t="shared" si="1"/>
        <v/>
      </c>
      <c r="G197" s="25"/>
    </row>
    <row r="198" ht="15.75" customHeight="1">
      <c r="A198" s="25"/>
      <c r="D198" s="25" t="str">
        <f t="array" ref="D198">IF(OR($A198="",$G198=""),"",_xlfn.XLOOKUP($G198,Labor_Rates!$A$3:$A$7,Labor_Rates!$B$3:$B$7,""))</f>
        <v/>
      </c>
      <c r="E198" s="25" t="str">
        <f t="shared" si="1"/>
        <v/>
      </c>
      <c r="G198" s="25"/>
    </row>
    <row r="199" ht="15.75" customHeight="1">
      <c r="A199" s="25"/>
      <c r="D199" s="25" t="str">
        <f t="array" ref="D199">IF(OR($A199="",$G199=""),"",_xlfn.XLOOKUP($G199,Labor_Rates!$A$3:$A$7,Labor_Rates!$B$3:$B$7,""))</f>
        <v/>
      </c>
      <c r="E199" s="25" t="str">
        <f t="shared" si="1"/>
        <v/>
      </c>
      <c r="G199" s="25"/>
    </row>
    <row r="200" ht="15.75" customHeight="1">
      <c r="A200" s="25"/>
      <c r="D200" s="25" t="str">
        <f t="array" ref="D200">IF(OR($A200="",$G200=""),"",_xlfn.XLOOKUP($G200,Labor_Rates!$A$3:$A$7,Labor_Rates!$B$3:$B$7,""))</f>
        <v/>
      </c>
      <c r="E200" s="25" t="str">
        <f t="shared" si="1"/>
        <v/>
      </c>
      <c r="G200" s="25"/>
    </row>
    <row r="201" ht="15.75" customHeight="1">
      <c r="A201" s="25"/>
      <c r="D201" s="25" t="str">
        <f t="array" ref="D201">IF(OR($A201="",$G201=""),"",_xlfn.XLOOKUP($G201,Labor_Rates!$A$3:$A$7,Labor_Rates!$B$3:$B$7,""))</f>
        <v/>
      </c>
      <c r="E201" s="25" t="str">
        <f t="shared" si="1"/>
        <v/>
      </c>
      <c r="G201" s="25"/>
    </row>
    <row r="202" ht="15.75" customHeight="1">
      <c r="A202" s="25"/>
      <c r="D202" s="25" t="str">
        <f t="array" ref="D202">IF(OR($A202="",$G202=""),"",_xlfn.XLOOKUP($G202,Labor_Rates!$A$3:$A$7,Labor_Rates!$B$3:$B$7,""))</f>
        <v/>
      </c>
      <c r="E202" s="25" t="str">
        <f t="shared" si="1"/>
        <v/>
      </c>
      <c r="G202" s="25"/>
    </row>
    <row r="203" ht="15.75" customHeight="1">
      <c r="A203" s="25"/>
      <c r="D203" s="25" t="str">
        <f t="array" ref="D203">IF(OR($A203="",$G203=""),"",_xlfn.XLOOKUP($G203,Labor_Rates!$A$3:$A$7,Labor_Rates!$B$3:$B$7,""))</f>
        <v/>
      </c>
      <c r="E203" s="25" t="str">
        <f t="shared" si="1"/>
        <v/>
      </c>
      <c r="G203" s="25"/>
    </row>
    <row r="204" ht="15.75" customHeight="1">
      <c r="A204" s="25"/>
      <c r="D204" s="25" t="str">
        <f t="array" ref="D204">IF(OR($A204="",$G204=""),"",_xlfn.XLOOKUP($G204,Labor_Rates!$A$3:$A$7,Labor_Rates!$B$3:$B$7,""))</f>
        <v/>
      </c>
      <c r="E204" s="25" t="str">
        <f t="shared" si="1"/>
        <v/>
      </c>
      <c r="G204" s="25"/>
    </row>
    <row r="205" ht="15.75" customHeight="1">
      <c r="A205" s="25"/>
      <c r="D205" s="25" t="str">
        <f t="array" ref="D205">IF(OR($A205="",$G205=""),"",_xlfn.XLOOKUP($G205,Labor_Rates!$A$3:$A$7,Labor_Rates!$B$3:$B$7,""))</f>
        <v/>
      </c>
      <c r="E205" s="25" t="str">
        <f t="shared" si="1"/>
        <v/>
      </c>
      <c r="G205" s="25"/>
    </row>
    <row r="206" ht="15.75" customHeight="1">
      <c r="A206" s="25"/>
      <c r="D206" s="25" t="str">
        <f t="array" ref="D206">IF(OR($A206="",$G206=""),"",_xlfn.XLOOKUP($G206,Labor_Rates!$A$3:$A$7,Labor_Rates!$B$3:$B$7,""))</f>
        <v/>
      </c>
      <c r="E206" s="25" t="str">
        <f t="shared" si="1"/>
        <v/>
      </c>
      <c r="G206" s="25"/>
    </row>
    <row r="207" ht="15.75" customHeight="1">
      <c r="A207" s="25"/>
      <c r="D207" s="25" t="str">
        <f t="array" ref="D207">IF(OR($A207="",$G207=""),"",_xlfn.XLOOKUP($G207,Labor_Rates!$A$3:$A$7,Labor_Rates!$B$3:$B$7,""))</f>
        <v/>
      </c>
      <c r="E207" s="25" t="str">
        <f t="shared" si="1"/>
        <v/>
      </c>
      <c r="G207" s="25"/>
    </row>
    <row r="208" ht="15.75" customHeight="1">
      <c r="A208" s="25"/>
      <c r="D208" s="25" t="str">
        <f t="array" ref="D208">IF(OR($A208="",$G208=""),"",_xlfn.XLOOKUP($G208,Labor_Rates!$A$3:$A$7,Labor_Rates!$B$3:$B$7,""))</f>
        <v/>
      </c>
      <c r="E208" s="25" t="str">
        <f t="shared" si="1"/>
        <v/>
      </c>
      <c r="G208" s="25"/>
    </row>
    <row r="209" ht="15.75" customHeight="1">
      <c r="A209" s="25"/>
      <c r="D209" s="25" t="str">
        <f t="array" ref="D209">IF(OR($A209="",$G209=""),"",_xlfn.XLOOKUP($G209,Labor_Rates!$A$3:$A$7,Labor_Rates!$B$3:$B$7,""))</f>
        <v/>
      </c>
      <c r="E209" s="25" t="str">
        <f t="shared" si="1"/>
        <v/>
      </c>
      <c r="G209" s="25"/>
    </row>
    <row r="210" ht="15.75" customHeight="1">
      <c r="A210" s="25"/>
      <c r="D210" s="25" t="str">
        <f t="array" ref="D210">IF(OR($A210="",$G210=""),"",_xlfn.XLOOKUP($G210,Labor_Rates!$A$3:$A$7,Labor_Rates!$B$3:$B$7,""))</f>
        <v/>
      </c>
      <c r="E210" s="25" t="str">
        <f t="shared" si="1"/>
        <v/>
      </c>
      <c r="G210" s="25"/>
    </row>
    <row r="211" ht="15.75" customHeight="1">
      <c r="A211" s="25"/>
      <c r="D211" s="25" t="str">
        <f t="array" ref="D211">IF(OR($A211="",$G211=""),"",_xlfn.XLOOKUP($G211,Labor_Rates!$A$3:$A$7,Labor_Rates!$B$3:$B$7,""))</f>
        <v/>
      </c>
      <c r="E211" s="25" t="str">
        <f t="shared" si="1"/>
        <v/>
      </c>
      <c r="G211" s="25"/>
    </row>
    <row r="212" ht="15.75" customHeight="1">
      <c r="A212" s="25"/>
      <c r="D212" s="25" t="str">
        <f t="array" ref="D212">IF(OR($A212="",$G212=""),"",_xlfn.XLOOKUP($G212,Labor_Rates!$A$3:$A$7,Labor_Rates!$B$3:$B$7,""))</f>
        <v/>
      </c>
      <c r="E212" s="25" t="str">
        <f t="shared" si="1"/>
        <v/>
      </c>
      <c r="G212" s="25"/>
    </row>
    <row r="213" ht="15.75" customHeight="1">
      <c r="A213" s="25"/>
      <c r="D213" s="25" t="str">
        <f t="array" ref="D213">IF(OR($A213="",$G213=""),"",_xlfn.XLOOKUP($G213,Labor_Rates!$A$3:$A$7,Labor_Rates!$B$3:$B$7,""))</f>
        <v/>
      </c>
      <c r="E213" s="25" t="str">
        <f t="shared" si="1"/>
        <v/>
      </c>
      <c r="G213" s="25"/>
    </row>
    <row r="214" ht="15.75" customHeight="1">
      <c r="A214" s="25"/>
      <c r="D214" s="25" t="str">
        <f t="array" ref="D214">IF(OR($A214="",$G214=""),"",_xlfn.XLOOKUP($G214,Labor_Rates!$A$3:$A$7,Labor_Rates!$B$3:$B$7,""))</f>
        <v/>
      </c>
      <c r="E214" s="25" t="str">
        <f t="shared" si="1"/>
        <v/>
      </c>
      <c r="G214" s="25"/>
    </row>
    <row r="215" ht="15.75" customHeight="1">
      <c r="A215" s="25"/>
      <c r="D215" s="25" t="str">
        <f t="array" ref="D215">IF(OR($A215="",$G215=""),"",_xlfn.XLOOKUP($G215,Labor_Rates!$A$3:$A$7,Labor_Rates!$B$3:$B$7,""))</f>
        <v/>
      </c>
      <c r="E215" s="25" t="str">
        <f t="shared" si="1"/>
        <v/>
      </c>
      <c r="G215" s="25"/>
    </row>
    <row r="216" ht="15.75" customHeight="1">
      <c r="A216" s="25"/>
      <c r="D216" s="25" t="str">
        <f t="array" ref="D216">IF(OR($A216="",$G216=""),"",_xlfn.XLOOKUP($G216,Labor_Rates!$A$3:$A$7,Labor_Rates!$B$3:$B$7,""))</f>
        <v/>
      </c>
      <c r="E216" s="25" t="str">
        <f t="shared" si="1"/>
        <v/>
      </c>
      <c r="G216" s="25"/>
    </row>
    <row r="217" ht="15.75" customHeight="1">
      <c r="A217" s="25"/>
      <c r="D217" s="25" t="str">
        <f t="array" ref="D217">IF(OR($A217="",$G217=""),"",_xlfn.XLOOKUP($G217,Labor_Rates!$A$3:$A$7,Labor_Rates!$B$3:$B$7,""))</f>
        <v/>
      </c>
      <c r="E217" s="25" t="str">
        <f t="shared" si="1"/>
        <v/>
      </c>
      <c r="G217" s="25"/>
    </row>
    <row r="218" ht="15.75" customHeight="1">
      <c r="A218" s="25"/>
      <c r="D218" s="25" t="str">
        <f t="array" ref="D218">IF(OR($A218="",$G218=""),"",_xlfn.XLOOKUP($G218,Labor_Rates!$A$3:$A$7,Labor_Rates!$B$3:$B$7,""))</f>
        <v/>
      </c>
      <c r="E218" s="25" t="str">
        <f t="shared" si="1"/>
        <v/>
      </c>
      <c r="G218" s="25"/>
    </row>
    <row r="219" ht="15.75" customHeight="1">
      <c r="A219" s="25"/>
      <c r="D219" s="25" t="str">
        <f t="array" ref="D219">IF(OR($A219="",$G219=""),"",_xlfn.XLOOKUP($G219,Labor_Rates!$A$3:$A$7,Labor_Rates!$B$3:$B$7,""))</f>
        <v/>
      </c>
      <c r="E219" s="25" t="str">
        <f t="shared" si="1"/>
        <v/>
      </c>
      <c r="G219" s="25"/>
    </row>
    <row r="220" ht="15.75" customHeight="1">
      <c r="A220" s="25"/>
      <c r="D220" s="25" t="str">
        <f t="array" ref="D220">IF(OR($A220="",$G220=""),"",_xlfn.XLOOKUP($G220,Labor_Rates!$A$3:$A$7,Labor_Rates!$B$3:$B$7,""))</f>
        <v/>
      </c>
      <c r="E220" s="25" t="str">
        <f t="shared" si="1"/>
        <v/>
      </c>
      <c r="G220" s="25"/>
    </row>
    <row r="221" ht="15.75" customHeight="1">
      <c r="A221" s="25"/>
      <c r="D221" s="25" t="str">
        <f t="array" ref="D221">IF(OR($A221="",$G221=""),"",_xlfn.XLOOKUP($G221,Labor_Rates!$A$3:$A$7,Labor_Rates!$B$3:$B$7,""))</f>
        <v/>
      </c>
      <c r="E221" s="25" t="str">
        <f t="shared" si="1"/>
        <v/>
      </c>
      <c r="G221" s="25"/>
    </row>
    <row r="222" ht="15.75" customHeight="1">
      <c r="A222" s="25"/>
      <c r="D222" s="25" t="str">
        <f t="array" ref="D222">IF(OR($A222="",$G222=""),"",_xlfn.XLOOKUP($G222,Labor_Rates!$A$3:$A$7,Labor_Rates!$B$3:$B$7,""))</f>
        <v/>
      </c>
      <c r="E222" s="25" t="str">
        <f t="shared" si="1"/>
        <v/>
      </c>
      <c r="G222" s="25"/>
    </row>
    <row r="223" ht="15.75" customHeight="1">
      <c r="A223" s="25"/>
      <c r="D223" s="25" t="str">
        <f t="array" ref="D223">IF(OR($A223="",$G223=""),"",_xlfn.XLOOKUP($G223,Labor_Rates!$A$3:$A$7,Labor_Rates!$B$3:$B$7,""))</f>
        <v/>
      </c>
      <c r="E223" s="25" t="str">
        <f t="shared" si="1"/>
        <v/>
      </c>
      <c r="G223" s="25"/>
    </row>
    <row r="224" ht="15.75" customHeight="1">
      <c r="A224" s="25"/>
      <c r="D224" s="25" t="str">
        <f t="array" ref="D224">IF(OR($A224="",$G224=""),"",_xlfn.XLOOKUP($G224,Labor_Rates!$A$3:$A$7,Labor_Rates!$B$3:$B$7,""))</f>
        <v/>
      </c>
      <c r="E224" s="25" t="str">
        <f t="shared" si="1"/>
        <v/>
      </c>
      <c r="G224" s="25"/>
    </row>
    <row r="225" ht="15.75" customHeight="1">
      <c r="A225" s="25"/>
      <c r="D225" s="25" t="str">
        <f t="array" ref="D225">IF(OR($A225="",$G225=""),"",_xlfn.XLOOKUP($G225,Labor_Rates!$A$3:$A$7,Labor_Rates!$B$3:$B$7,""))</f>
        <v/>
      </c>
      <c r="E225" s="25" t="str">
        <f t="shared" si="1"/>
        <v/>
      </c>
      <c r="G225" s="25"/>
    </row>
    <row r="226" ht="15.75" customHeight="1">
      <c r="A226" s="25"/>
      <c r="D226" s="25" t="str">
        <f t="array" ref="D226">IF(OR($A226="",$G226=""),"",_xlfn.XLOOKUP($G226,Labor_Rates!$A$3:$A$7,Labor_Rates!$B$3:$B$7,""))</f>
        <v/>
      </c>
      <c r="E226" s="25" t="str">
        <f t="shared" si="1"/>
        <v/>
      </c>
      <c r="G226" s="25"/>
    </row>
    <row r="227" ht="15.75" customHeight="1">
      <c r="A227" s="25"/>
      <c r="D227" s="25" t="str">
        <f t="array" ref="D227">IF(OR($A227="",$G227=""),"",_xlfn.XLOOKUP($G227,Labor_Rates!$A$3:$A$7,Labor_Rates!$B$3:$B$7,""))</f>
        <v/>
      </c>
      <c r="E227" s="25" t="str">
        <f t="shared" si="1"/>
        <v/>
      </c>
      <c r="G227" s="25"/>
    </row>
    <row r="228" ht="15.75" customHeight="1">
      <c r="A228" s="25"/>
      <c r="D228" s="25" t="str">
        <f t="array" ref="D228">IF(OR($A228="",$G228=""),"",_xlfn.XLOOKUP($G228,Labor_Rates!$A$3:$A$7,Labor_Rates!$B$3:$B$7,""))</f>
        <v/>
      </c>
      <c r="E228" s="25" t="str">
        <f t="shared" si="1"/>
        <v/>
      </c>
      <c r="G228" s="25"/>
    </row>
    <row r="229" ht="15.75" customHeight="1">
      <c r="A229" s="25"/>
      <c r="D229" s="25" t="str">
        <f t="array" ref="D229">IF(OR($A229="",$G229=""),"",_xlfn.XLOOKUP($G229,Labor_Rates!$A$3:$A$7,Labor_Rates!$B$3:$B$7,""))</f>
        <v/>
      </c>
      <c r="E229" s="25" t="str">
        <f t="shared" si="1"/>
        <v/>
      </c>
      <c r="G229" s="25"/>
    </row>
    <row r="230" ht="15.75" customHeight="1">
      <c r="A230" s="25"/>
      <c r="D230" s="25" t="str">
        <f t="array" ref="D230">IF(OR($A230="",$G230=""),"",_xlfn.XLOOKUP($G230,Labor_Rates!$A$3:$A$7,Labor_Rates!$B$3:$B$7,""))</f>
        <v/>
      </c>
      <c r="E230" s="25" t="str">
        <f t="shared" si="1"/>
        <v/>
      </c>
      <c r="G230" s="25"/>
    </row>
    <row r="231" ht="15.75" customHeight="1">
      <c r="A231" s="25"/>
      <c r="D231" s="25" t="str">
        <f t="array" ref="D231">IF(OR($A231="",$G231=""),"",_xlfn.XLOOKUP($G231,Labor_Rates!$A$3:$A$7,Labor_Rates!$B$3:$B$7,""))</f>
        <v/>
      </c>
      <c r="E231" s="25" t="str">
        <f t="shared" si="1"/>
        <v/>
      </c>
      <c r="G231" s="25"/>
    </row>
    <row r="232" ht="15.75" customHeight="1">
      <c r="A232" s="25"/>
      <c r="D232" s="25" t="str">
        <f t="array" ref="D232">IF(OR($A232="",$G232=""),"",_xlfn.XLOOKUP($G232,Labor_Rates!$A$3:$A$7,Labor_Rates!$B$3:$B$7,""))</f>
        <v/>
      </c>
      <c r="E232" s="25" t="str">
        <f t="shared" si="1"/>
        <v/>
      </c>
      <c r="G232" s="25"/>
    </row>
    <row r="233" ht="15.75" customHeight="1">
      <c r="A233" s="25"/>
      <c r="D233" s="25" t="str">
        <f t="array" ref="D233">IF(OR($A233="",$G233=""),"",_xlfn.XLOOKUP($G233,Labor_Rates!$A$3:$A$7,Labor_Rates!$B$3:$B$7,""))</f>
        <v/>
      </c>
      <c r="E233" s="25" t="str">
        <f t="shared" si="1"/>
        <v/>
      </c>
      <c r="G233" s="25"/>
    </row>
    <row r="234" ht="15.75" customHeight="1">
      <c r="A234" s="25"/>
      <c r="D234" s="25" t="str">
        <f t="array" ref="D234">IF(OR($A234="",$G234=""),"",_xlfn.XLOOKUP($G234,Labor_Rates!$A$3:$A$7,Labor_Rates!$B$3:$B$7,""))</f>
        <v/>
      </c>
      <c r="E234" s="25" t="str">
        <f t="shared" si="1"/>
        <v/>
      </c>
      <c r="G234" s="25"/>
    </row>
    <row r="235" ht="15.75" customHeight="1">
      <c r="A235" s="25"/>
      <c r="D235" s="25" t="str">
        <f t="array" ref="D235">IF(OR($A235="",$G235=""),"",_xlfn.XLOOKUP($G235,Labor_Rates!$A$3:$A$7,Labor_Rates!$B$3:$B$7,""))</f>
        <v/>
      </c>
      <c r="E235" s="25" t="str">
        <f t="shared" si="1"/>
        <v/>
      </c>
      <c r="G235" s="25"/>
    </row>
    <row r="236" ht="15.75" customHeight="1">
      <c r="A236" s="25"/>
      <c r="D236" s="25" t="str">
        <f t="array" ref="D236">IF(OR($A236="",$G236=""),"",_xlfn.XLOOKUP($G236,Labor_Rates!$A$3:$A$7,Labor_Rates!$B$3:$B$7,""))</f>
        <v/>
      </c>
      <c r="E236" s="25" t="str">
        <f t="shared" si="1"/>
        <v/>
      </c>
      <c r="G236" s="25"/>
    </row>
    <row r="237" ht="15.75" customHeight="1">
      <c r="A237" s="25"/>
      <c r="D237" s="25" t="str">
        <f t="array" ref="D237">IF(OR($A237="",$G237=""),"",_xlfn.XLOOKUP($G237,Labor_Rates!$A$3:$A$7,Labor_Rates!$B$3:$B$7,""))</f>
        <v/>
      </c>
      <c r="E237" s="25" t="str">
        <f t="shared" si="1"/>
        <v/>
      </c>
      <c r="G237" s="25"/>
    </row>
    <row r="238" ht="15.75" customHeight="1">
      <c r="A238" s="25"/>
      <c r="D238" s="25" t="str">
        <f t="array" ref="D238">IF(OR($A238="",$G238=""),"",_xlfn.XLOOKUP($G238,Labor_Rates!$A$3:$A$7,Labor_Rates!$B$3:$B$7,""))</f>
        <v/>
      </c>
      <c r="E238" s="25" t="str">
        <f t="shared" si="1"/>
        <v/>
      </c>
      <c r="G238" s="25"/>
    </row>
    <row r="239" ht="15.75" customHeight="1">
      <c r="A239" s="25"/>
      <c r="D239" s="25" t="str">
        <f t="array" ref="D239">IF(OR($A239="",$G239=""),"",_xlfn.XLOOKUP($G239,Labor_Rates!$A$3:$A$7,Labor_Rates!$B$3:$B$7,""))</f>
        <v/>
      </c>
      <c r="E239" s="25" t="str">
        <f t="shared" si="1"/>
        <v/>
      </c>
      <c r="G239" s="25"/>
    </row>
    <row r="240" ht="15.75" customHeight="1">
      <c r="A240" s="25"/>
      <c r="D240" s="25" t="str">
        <f t="array" ref="D240">IF(OR($A240="",$G240=""),"",_xlfn.XLOOKUP($G240,Labor_Rates!$A$3:$A$7,Labor_Rates!$B$3:$B$7,""))</f>
        <v/>
      </c>
      <c r="E240" s="25" t="str">
        <f t="shared" si="1"/>
        <v/>
      </c>
      <c r="G240" s="25"/>
    </row>
    <row r="241" ht="15.75" customHeight="1">
      <c r="A241" s="25"/>
      <c r="D241" s="25" t="str">
        <f t="array" ref="D241">IF(OR($A241="",$G241=""),"",_xlfn.XLOOKUP($G241,Labor_Rates!$A$3:$A$7,Labor_Rates!$B$3:$B$7,""))</f>
        <v/>
      </c>
      <c r="E241" s="25" t="str">
        <f t="shared" si="1"/>
        <v/>
      </c>
      <c r="G241" s="25"/>
    </row>
    <row r="242" ht="15.75" customHeight="1">
      <c r="A242" s="25"/>
      <c r="D242" s="25" t="str">
        <f t="array" ref="D242">IF(OR($A242="",$G242=""),"",_xlfn.XLOOKUP($G242,Labor_Rates!$A$3:$A$7,Labor_Rates!$B$3:$B$7,""))</f>
        <v/>
      </c>
      <c r="E242" s="25" t="str">
        <f t="shared" si="1"/>
        <v/>
      </c>
      <c r="G242" s="25"/>
    </row>
    <row r="243" ht="15.75" customHeight="1">
      <c r="A243" s="25"/>
      <c r="D243" s="25" t="str">
        <f t="array" ref="D243">IF(OR($A243="",$G243=""),"",_xlfn.XLOOKUP($G243,Labor_Rates!$A$3:$A$7,Labor_Rates!$B$3:$B$7,""))</f>
        <v/>
      </c>
      <c r="E243" s="25" t="str">
        <f t="shared" si="1"/>
        <v/>
      </c>
      <c r="G243" s="25"/>
    </row>
    <row r="244" ht="15.75" customHeight="1">
      <c r="A244" s="25"/>
      <c r="D244" s="25" t="str">
        <f t="array" ref="D244">IF(OR($A244="",$G244=""),"",_xlfn.XLOOKUP($G244,Labor_Rates!$A$3:$A$7,Labor_Rates!$B$3:$B$7,""))</f>
        <v/>
      </c>
      <c r="E244" s="25" t="str">
        <f t="shared" si="1"/>
        <v/>
      </c>
      <c r="G244" s="25"/>
    </row>
    <row r="245" ht="15.75" customHeight="1">
      <c r="A245" s="25"/>
      <c r="D245" s="25" t="str">
        <f t="array" ref="D245">IF(OR($A245="",$G245=""),"",_xlfn.XLOOKUP($G245,Labor_Rates!$A$3:$A$7,Labor_Rates!$B$3:$B$7,""))</f>
        <v/>
      </c>
      <c r="E245" s="25" t="str">
        <f t="shared" si="1"/>
        <v/>
      </c>
      <c r="G245" s="25"/>
    </row>
    <row r="246" ht="15.75" customHeight="1">
      <c r="A246" s="25"/>
      <c r="D246" s="25" t="str">
        <f t="array" ref="D246">IF(OR($A246="",$G246=""),"",_xlfn.XLOOKUP($G246,Labor_Rates!$A$3:$A$7,Labor_Rates!$B$3:$B$7,""))</f>
        <v/>
      </c>
      <c r="E246" s="25" t="str">
        <f t="shared" si="1"/>
        <v/>
      </c>
      <c r="G246" s="25"/>
    </row>
    <row r="247" ht="15.75" customHeight="1">
      <c r="A247" s="25"/>
      <c r="D247" s="25" t="str">
        <f t="array" ref="D247">IF(OR($A247="",$G247=""),"",_xlfn.XLOOKUP($G247,Labor_Rates!$A$3:$A$7,Labor_Rates!$B$3:$B$7,""))</f>
        <v/>
      </c>
      <c r="E247" s="25" t="str">
        <f t="shared" si="1"/>
        <v/>
      </c>
      <c r="G247" s="25"/>
    </row>
    <row r="248" ht="15.75" customHeight="1">
      <c r="A248" s="25"/>
      <c r="D248" s="25" t="str">
        <f t="array" ref="D248">IF(OR($A248="",$G248=""),"",_xlfn.XLOOKUP($G248,Labor_Rates!$A$3:$A$7,Labor_Rates!$B$3:$B$7,""))</f>
        <v/>
      </c>
      <c r="E248" s="25" t="str">
        <f t="shared" si="1"/>
        <v/>
      </c>
      <c r="G248" s="25"/>
    </row>
    <row r="249" ht="15.75" customHeight="1">
      <c r="A249" s="25"/>
      <c r="D249" s="25" t="str">
        <f t="array" ref="D249">IF(OR($A249="",$G249=""),"",_xlfn.XLOOKUP($G249,Labor_Rates!$A$3:$A$7,Labor_Rates!$B$3:$B$7,""))</f>
        <v/>
      </c>
      <c r="E249" s="25" t="str">
        <f t="shared" si="1"/>
        <v/>
      </c>
      <c r="G249" s="25"/>
    </row>
    <row r="250" ht="15.75" customHeight="1">
      <c r="A250" s="25"/>
      <c r="D250" s="25" t="str">
        <f t="array" ref="D250">IF(OR($A250="",$G250=""),"",_xlfn.XLOOKUP($G250,Labor_Rates!$A$3:$A$7,Labor_Rates!$B$3:$B$7,""))</f>
        <v/>
      </c>
      <c r="E250" s="25" t="str">
        <f t="shared" si="1"/>
        <v/>
      </c>
      <c r="G250" s="25"/>
    </row>
    <row r="251" ht="15.75" customHeight="1">
      <c r="A251" s="25"/>
      <c r="D251" s="25" t="str">
        <f t="array" ref="D251">IF(OR($A251="",$G251=""),"",_xlfn.XLOOKUP($G251,Labor_Rates!$A$3:$A$7,Labor_Rates!$B$3:$B$7,""))</f>
        <v/>
      </c>
      <c r="E251" s="25" t="str">
        <f t="shared" si="1"/>
        <v/>
      </c>
      <c r="G251" s="25"/>
    </row>
    <row r="252" ht="15.75" customHeight="1">
      <c r="A252" s="25"/>
      <c r="D252" s="25" t="str">
        <f t="array" ref="D252">IF(OR($A252="",$G252=""),"",_xlfn.XLOOKUP($G252,Labor_Rates!$A$3:$A$7,Labor_Rates!$B$3:$B$7,""))</f>
        <v/>
      </c>
      <c r="E252" s="25" t="str">
        <f t="shared" si="1"/>
        <v/>
      </c>
      <c r="G252" s="25"/>
    </row>
    <row r="253" ht="15.75" customHeight="1">
      <c r="A253" s="25"/>
      <c r="D253" s="25" t="str">
        <f t="array" ref="D253">IF(OR($A253="",$G253=""),"",_xlfn.XLOOKUP($G253,Labor_Rates!$A$3:$A$7,Labor_Rates!$B$3:$B$7,""))</f>
        <v/>
      </c>
      <c r="E253" s="25" t="str">
        <f t="shared" si="1"/>
        <v/>
      </c>
      <c r="G253" s="25"/>
    </row>
    <row r="254" ht="15.75" customHeight="1">
      <c r="A254" s="25"/>
      <c r="D254" s="25" t="str">
        <f t="array" ref="D254">IF(OR($A254="",$G254=""),"",_xlfn.XLOOKUP($G254,Labor_Rates!$A$3:$A$7,Labor_Rates!$B$3:$B$7,""))</f>
        <v/>
      </c>
      <c r="E254" s="25" t="str">
        <f t="shared" si="1"/>
        <v/>
      </c>
      <c r="G254" s="25"/>
    </row>
    <row r="255" ht="15.75" customHeight="1">
      <c r="A255" s="25"/>
      <c r="D255" s="25" t="str">
        <f t="array" ref="D255">IF(OR($A255="",$G255=""),"",_xlfn.XLOOKUP($G255,Labor_Rates!$A$3:$A$7,Labor_Rates!$B$3:$B$7,""))</f>
        <v/>
      </c>
      <c r="E255" s="25" t="str">
        <f t="shared" si="1"/>
        <v/>
      </c>
      <c r="G255" s="25"/>
    </row>
    <row r="256" ht="15.75" customHeight="1">
      <c r="A256" s="25"/>
      <c r="D256" s="25" t="str">
        <f t="array" ref="D256">IF(OR($A256="",$G256=""),"",_xlfn.XLOOKUP($G256,Labor_Rates!$A$3:$A$7,Labor_Rates!$B$3:$B$7,""))</f>
        <v/>
      </c>
      <c r="E256" s="25" t="str">
        <f t="shared" si="1"/>
        <v/>
      </c>
      <c r="G256" s="25"/>
    </row>
    <row r="257" ht="15.75" customHeight="1">
      <c r="A257" s="25"/>
      <c r="D257" s="25" t="str">
        <f t="array" ref="D257">IF(OR($A257="",$G257=""),"",_xlfn.XLOOKUP($G257,Labor_Rates!$A$3:$A$7,Labor_Rates!$B$3:$B$7,""))</f>
        <v/>
      </c>
      <c r="E257" s="25" t="str">
        <f t="shared" si="1"/>
        <v/>
      </c>
      <c r="G257" s="25"/>
    </row>
    <row r="258" ht="15.75" customHeight="1">
      <c r="A258" s="25"/>
      <c r="D258" s="25" t="str">
        <f t="array" ref="D258">IF(OR($A258="",$G258=""),"",_xlfn.XLOOKUP($G258,Labor_Rates!$A$3:$A$7,Labor_Rates!$B$3:$B$7,""))</f>
        <v/>
      </c>
      <c r="E258" s="25" t="str">
        <f t="shared" si="1"/>
        <v/>
      </c>
      <c r="G258" s="25"/>
    </row>
    <row r="259" ht="15.75" customHeight="1">
      <c r="A259" s="25"/>
      <c r="D259" s="25" t="str">
        <f t="array" ref="D259">IF(OR($A259="",$G259=""),"",_xlfn.XLOOKUP($G259,Labor_Rates!$A$3:$A$7,Labor_Rates!$B$3:$B$7,""))</f>
        <v/>
      </c>
      <c r="E259" s="25" t="str">
        <f t="shared" si="1"/>
        <v/>
      </c>
      <c r="G259" s="25"/>
    </row>
    <row r="260" ht="15.75" customHeight="1">
      <c r="A260" s="25"/>
      <c r="D260" s="25" t="str">
        <f t="array" ref="D260">IF(OR($A260="",$G260=""),"",_xlfn.XLOOKUP($G260,Labor_Rates!$A$3:$A$7,Labor_Rates!$B$3:$B$7,""))</f>
        <v/>
      </c>
      <c r="E260" s="25" t="str">
        <f t="shared" si="1"/>
        <v/>
      </c>
      <c r="G260" s="25"/>
    </row>
    <row r="261" ht="15.75" customHeight="1">
      <c r="A261" s="25"/>
      <c r="D261" s="25" t="str">
        <f t="array" ref="D261">IF(OR($A261="",$G261=""),"",_xlfn.XLOOKUP($G261,Labor_Rates!$A$3:$A$7,Labor_Rates!$B$3:$B$7,""))</f>
        <v/>
      </c>
      <c r="E261" s="25" t="str">
        <f t="shared" si="1"/>
        <v/>
      </c>
      <c r="G261" s="25"/>
    </row>
    <row r="262" ht="15.75" customHeight="1">
      <c r="A262" s="25"/>
      <c r="D262" s="25" t="str">
        <f t="array" ref="D262">IF(OR($A262="",$G262=""),"",_xlfn.XLOOKUP($G262,Labor_Rates!$A$3:$A$7,Labor_Rates!$B$3:$B$7,""))</f>
        <v/>
      </c>
      <c r="E262" s="25" t="str">
        <f t="shared" si="1"/>
        <v/>
      </c>
      <c r="G262" s="25"/>
    </row>
    <row r="263" ht="15.75" customHeight="1">
      <c r="A263" s="25"/>
      <c r="D263" s="25" t="str">
        <f t="array" ref="D263">IF(OR($A263="",$G263=""),"",_xlfn.XLOOKUP($G263,Labor_Rates!$A$3:$A$7,Labor_Rates!$B$3:$B$7,""))</f>
        <v/>
      </c>
      <c r="E263" s="25" t="str">
        <f t="shared" si="1"/>
        <v/>
      </c>
      <c r="G263" s="25"/>
    </row>
    <row r="264" ht="15.75" customHeight="1">
      <c r="A264" s="25"/>
      <c r="D264" s="25" t="str">
        <f t="array" ref="D264">IF(OR($A264="",$G264=""),"",_xlfn.XLOOKUP($G264,Labor_Rates!$A$3:$A$7,Labor_Rates!$B$3:$B$7,""))</f>
        <v/>
      </c>
      <c r="E264" s="25" t="str">
        <f t="shared" si="1"/>
        <v/>
      </c>
      <c r="G264" s="25"/>
    </row>
    <row r="265" ht="15.75" customHeight="1">
      <c r="A265" s="25"/>
      <c r="D265" s="25" t="str">
        <f t="array" ref="D265">IF(OR($A265="",$G265=""),"",_xlfn.XLOOKUP($G265,Labor_Rates!$A$3:$A$7,Labor_Rates!$B$3:$B$7,""))</f>
        <v/>
      </c>
      <c r="E265" s="25" t="str">
        <f t="shared" si="1"/>
        <v/>
      </c>
      <c r="G265" s="25"/>
    </row>
    <row r="266" ht="15.75" customHeight="1">
      <c r="A266" s="25"/>
      <c r="D266" s="25" t="str">
        <f t="array" ref="D266">IF(OR($A266="",$G266=""),"",_xlfn.XLOOKUP($G266,Labor_Rates!$A$3:$A$7,Labor_Rates!$B$3:$B$7,""))</f>
        <v/>
      </c>
      <c r="E266" s="25" t="str">
        <f t="shared" si="1"/>
        <v/>
      </c>
      <c r="G266" s="25"/>
    </row>
    <row r="267" ht="15.75" customHeight="1">
      <c r="A267" s="25"/>
      <c r="D267" s="25" t="str">
        <f t="array" ref="D267">IF(OR($A267="",$G267=""),"",_xlfn.XLOOKUP($G267,Labor_Rates!$A$3:$A$7,Labor_Rates!$B$3:$B$7,""))</f>
        <v/>
      </c>
      <c r="E267" s="25" t="str">
        <f t="shared" si="1"/>
        <v/>
      </c>
      <c r="G267" s="25"/>
    </row>
    <row r="268" ht="15.75" customHeight="1">
      <c r="A268" s="25"/>
      <c r="D268" s="25" t="str">
        <f t="array" ref="D268">IF(OR($A268="",$G268=""),"",_xlfn.XLOOKUP($G268,Labor_Rates!$A$3:$A$7,Labor_Rates!$B$3:$B$7,""))</f>
        <v/>
      </c>
      <c r="E268" s="25" t="str">
        <f t="shared" si="1"/>
        <v/>
      </c>
      <c r="G268" s="25"/>
    </row>
    <row r="269" ht="15.75" customHeight="1">
      <c r="A269" s="25"/>
      <c r="D269" s="25" t="str">
        <f t="array" ref="D269">IF(OR($A269="",$G269=""),"",_xlfn.XLOOKUP($G269,Labor_Rates!$A$3:$A$7,Labor_Rates!$B$3:$B$7,""))</f>
        <v/>
      </c>
      <c r="E269" s="25" t="str">
        <f t="shared" si="1"/>
        <v/>
      </c>
      <c r="G269" s="25"/>
    </row>
    <row r="270" ht="15.75" customHeight="1">
      <c r="A270" s="25"/>
      <c r="D270" s="25" t="str">
        <f t="array" ref="D270">IF(OR($A270="",$G270=""),"",_xlfn.XLOOKUP($G270,Labor_Rates!$A$3:$A$7,Labor_Rates!$B$3:$B$7,""))</f>
        <v/>
      </c>
      <c r="E270" s="25" t="str">
        <f t="shared" si="1"/>
        <v/>
      </c>
      <c r="G270" s="25"/>
    </row>
    <row r="271" ht="15.75" customHeight="1">
      <c r="A271" s="25"/>
      <c r="D271" s="25" t="str">
        <f t="array" ref="D271">IF(OR($A271="",$G271=""),"",_xlfn.XLOOKUP($G271,Labor_Rates!$A$3:$A$7,Labor_Rates!$B$3:$B$7,""))</f>
        <v/>
      </c>
      <c r="E271" s="25" t="str">
        <f t="shared" si="1"/>
        <v/>
      </c>
      <c r="G271" s="25"/>
    </row>
    <row r="272" ht="15.75" customHeight="1">
      <c r="A272" s="25"/>
      <c r="D272" s="25" t="str">
        <f t="array" ref="D272">IF(OR($A272="",$G272=""),"",_xlfn.XLOOKUP($G272,Labor_Rates!$A$3:$A$7,Labor_Rates!$B$3:$B$7,""))</f>
        <v/>
      </c>
      <c r="E272" s="25" t="str">
        <f t="shared" si="1"/>
        <v/>
      </c>
      <c r="G272" s="25"/>
    </row>
    <row r="273" ht="15.75" customHeight="1">
      <c r="A273" s="25"/>
      <c r="D273" s="25" t="str">
        <f t="array" ref="D273">IF(OR($A273="",$G273=""),"",_xlfn.XLOOKUP($G273,Labor_Rates!$A$3:$A$7,Labor_Rates!$B$3:$B$7,""))</f>
        <v/>
      </c>
      <c r="E273" s="25" t="str">
        <f t="shared" si="1"/>
        <v/>
      </c>
      <c r="G273" s="25"/>
    </row>
    <row r="274" ht="15.75" customHeight="1">
      <c r="A274" s="25"/>
      <c r="D274" s="25" t="str">
        <f t="array" ref="D274">IF(OR($A274="",$G274=""),"",_xlfn.XLOOKUP($G274,Labor_Rates!$A$3:$A$7,Labor_Rates!$B$3:$B$7,""))</f>
        <v/>
      </c>
      <c r="E274" s="25" t="str">
        <f t="shared" si="1"/>
        <v/>
      </c>
      <c r="G274" s="25"/>
    </row>
    <row r="275" ht="15.75" customHeight="1">
      <c r="A275" s="25"/>
      <c r="D275" s="25" t="str">
        <f t="array" ref="D275">IF(OR($A275="",$G275=""),"",_xlfn.XLOOKUP($G275,Labor_Rates!$A$3:$A$7,Labor_Rates!$B$3:$B$7,""))</f>
        <v/>
      </c>
      <c r="E275" s="25" t="str">
        <f t="shared" si="1"/>
        <v/>
      </c>
      <c r="G275" s="25"/>
    </row>
    <row r="276" ht="15.75" customHeight="1">
      <c r="A276" s="25"/>
      <c r="D276" s="25" t="str">
        <f t="array" ref="D276">IF(OR($A276="",$G276=""),"",_xlfn.XLOOKUP($G276,Labor_Rates!$A$3:$A$7,Labor_Rates!$B$3:$B$7,""))</f>
        <v/>
      </c>
      <c r="E276" s="25" t="str">
        <f t="shared" si="1"/>
        <v/>
      </c>
      <c r="G276" s="25"/>
    </row>
    <row r="277" ht="15.75" customHeight="1">
      <c r="A277" s="25"/>
      <c r="D277" s="25" t="str">
        <f t="array" ref="D277">IF(OR($A277="",$G277=""),"",_xlfn.XLOOKUP($G277,Labor_Rates!$A$3:$A$7,Labor_Rates!$B$3:$B$7,""))</f>
        <v/>
      </c>
      <c r="E277" s="25" t="str">
        <f t="shared" si="1"/>
        <v/>
      </c>
      <c r="G277" s="25"/>
    </row>
    <row r="278" ht="15.75" customHeight="1">
      <c r="A278" s="25"/>
      <c r="D278" s="25" t="str">
        <f t="array" ref="D278">IF(OR($A278="",$G278=""),"",_xlfn.XLOOKUP($G278,Labor_Rates!$A$3:$A$7,Labor_Rates!$B$3:$B$7,""))</f>
        <v/>
      </c>
      <c r="E278" s="25" t="str">
        <f t="shared" si="1"/>
        <v/>
      </c>
      <c r="G278" s="25"/>
    </row>
    <row r="279" ht="15.75" customHeight="1">
      <c r="A279" s="25"/>
      <c r="D279" s="25" t="str">
        <f t="array" ref="D279">IF(OR($A279="",$G279=""),"",_xlfn.XLOOKUP($G279,Labor_Rates!$A$3:$A$7,Labor_Rates!$B$3:$B$7,""))</f>
        <v/>
      </c>
      <c r="E279" s="25" t="str">
        <f t="shared" si="1"/>
        <v/>
      </c>
      <c r="G279" s="25"/>
    </row>
    <row r="280" ht="15.75" customHeight="1">
      <c r="A280" s="25"/>
      <c r="D280" s="25" t="str">
        <f t="array" ref="D280">IF(OR($A280="",$G280=""),"",_xlfn.XLOOKUP($G280,Labor_Rates!$A$3:$A$7,Labor_Rates!$B$3:$B$7,""))</f>
        <v/>
      </c>
      <c r="E280" s="25" t="str">
        <f t="shared" si="1"/>
        <v/>
      </c>
      <c r="G280" s="25"/>
    </row>
    <row r="281" ht="15.75" customHeight="1">
      <c r="A281" s="25"/>
      <c r="D281" s="25" t="str">
        <f t="array" ref="D281">IF(OR($A281="",$G281=""),"",_xlfn.XLOOKUP($G281,Labor_Rates!$A$3:$A$7,Labor_Rates!$B$3:$B$7,""))</f>
        <v/>
      </c>
      <c r="E281" s="25" t="str">
        <f t="shared" si="1"/>
        <v/>
      </c>
      <c r="G281" s="25"/>
    </row>
    <row r="282" ht="15.75" customHeight="1">
      <c r="A282" s="25"/>
      <c r="D282" s="25" t="str">
        <f t="array" ref="D282">IF(OR($A282="",$G282=""),"",_xlfn.XLOOKUP($G282,Labor_Rates!$A$3:$A$7,Labor_Rates!$B$3:$B$7,""))</f>
        <v/>
      </c>
      <c r="E282" s="25" t="str">
        <f t="shared" si="1"/>
        <v/>
      </c>
      <c r="G282" s="25"/>
    </row>
    <row r="283" ht="15.75" customHeight="1">
      <c r="A283" s="25"/>
      <c r="D283" s="25" t="str">
        <f t="array" ref="D283">IF(OR($A283="",$G283=""),"",_xlfn.XLOOKUP($G283,Labor_Rates!$A$3:$A$7,Labor_Rates!$B$3:$B$7,""))</f>
        <v/>
      </c>
      <c r="E283" s="25" t="str">
        <f t="shared" si="1"/>
        <v/>
      </c>
      <c r="G283" s="25"/>
    </row>
    <row r="284" ht="15.75" customHeight="1">
      <c r="A284" s="25"/>
      <c r="D284" s="25" t="str">
        <f t="array" ref="D284">IF(OR($A284="",$G284=""),"",_xlfn.XLOOKUP($G284,Labor_Rates!$A$3:$A$7,Labor_Rates!$B$3:$B$7,""))</f>
        <v/>
      </c>
      <c r="E284" s="25" t="str">
        <f t="shared" si="1"/>
        <v/>
      </c>
      <c r="G284" s="25"/>
    </row>
    <row r="285" ht="15.75" customHeight="1">
      <c r="A285" s="25"/>
      <c r="D285" s="25" t="str">
        <f t="array" ref="D285">IF(OR($A285="",$G285=""),"",_xlfn.XLOOKUP($G285,Labor_Rates!$A$3:$A$7,Labor_Rates!$B$3:$B$7,""))</f>
        <v/>
      </c>
      <c r="E285" s="25" t="str">
        <f t="shared" si="1"/>
        <v/>
      </c>
      <c r="G285" s="25"/>
    </row>
    <row r="286" ht="15.75" customHeight="1">
      <c r="A286" s="25"/>
      <c r="D286" s="25" t="str">
        <f t="array" ref="D286">IF(OR($A286="",$G286=""),"",_xlfn.XLOOKUP($G286,Labor_Rates!$A$3:$A$7,Labor_Rates!$B$3:$B$7,""))</f>
        <v/>
      </c>
      <c r="E286" s="25" t="str">
        <f t="shared" si="1"/>
        <v/>
      </c>
      <c r="G286" s="25"/>
    </row>
    <row r="287" ht="15.75" customHeight="1">
      <c r="A287" s="25"/>
      <c r="D287" s="25" t="str">
        <f t="array" ref="D287">IF(OR($A287="",$G287=""),"",_xlfn.XLOOKUP($G287,Labor_Rates!$A$3:$A$7,Labor_Rates!$B$3:$B$7,""))</f>
        <v/>
      </c>
      <c r="E287" s="25" t="str">
        <f t="shared" si="1"/>
        <v/>
      </c>
      <c r="G287" s="25"/>
    </row>
    <row r="288" ht="15.75" customHeight="1">
      <c r="A288" s="25"/>
      <c r="D288" s="25" t="str">
        <f t="array" ref="D288">IF(OR($A288="",$G288=""),"",_xlfn.XLOOKUP($G288,Labor_Rates!$A$3:$A$7,Labor_Rates!$B$3:$B$7,""))</f>
        <v/>
      </c>
      <c r="E288" s="25" t="str">
        <f t="shared" si="1"/>
        <v/>
      </c>
      <c r="G288" s="25"/>
    </row>
    <row r="289" ht="15.75" customHeight="1">
      <c r="A289" s="25"/>
      <c r="D289" s="25" t="str">
        <f t="array" ref="D289">IF(OR($A289="",$G289=""),"",_xlfn.XLOOKUP($G289,Labor_Rates!$A$3:$A$7,Labor_Rates!$B$3:$B$7,""))</f>
        <v/>
      </c>
      <c r="E289" s="25" t="str">
        <f t="shared" si="1"/>
        <v/>
      </c>
      <c r="G289" s="25"/>
    </row>
    <row r="290" ht="15.75" customHeight="1">
      <c r="A290" s="25"/>
      <c r="D290" s="25" t="str">
        <f t="array" ref="D290">IF(OR($A290="",$G290=""),"",_xlfn.XLOOKUP($G290,Labor_Rates!$A$3:$A$7,Labor_Rates!$B$3:$B$7,""))</f>
        <v/>
      </c>
      <c r="E290" s="25" t="str">
        <f t="shared" si="1"/>
        <v/>
      </c>
      <c r="G290" s="25"/>
    </row>
    <row r="291" ht="15.75" customHeight="1">
      <c r="A291" s="25"/>
      <c r="D291" s="25" t="str">
        <f t="array" ref="D291">IF(OR($A291="",$G291=""),"",_xlfn.XLOOKUP($G291,Labor_Rates!$A$3:$A$7,Labor_Rates!$B$3:$B$7,""))</f>
        <v/>
      </c>
      <c r="E291" s="25" t="str">
        <f t="shared" si="1"/>
        <v/>
      </c>
      <c r="G291" s="25"/>
    </row>
    <row r="292" ht="15.75" customHeight="1">
      <c r="A292" s="25"/>
      <c r="D292" s="25" t="str">
        <f t="array" ref="D292">IF(OR($A292="",$G292=""),"",_xlfn.XLOOKUP($G292,Labor_Rates!$A$3:$A$7,Labor_Rates!$B$3:$B$7,""))</f>
        <v/>
      </c>
      <c r="E292" s="25" t="str">
        <f t="shared" si="1"/>
        <v/>
      </c>
      <c r="G292" s="25"/>
    </row>
    <row r="293" ht="15.75" customHeight="1">
      <c r="A293" s="25"/>
      <c r="D293" s="25" t="str">
        <f t="array" ref="D293">IF(OR($A293="",$G293=""),"",_xlfn.XLOOKUP($G293,Labor_Rates!$A$3:$A$7,Labor_Rates!$B$3:$B$7,""))</f>
        <v/>
      </c>
      <c r="E293" s="25" t="str">
        <f t="shared" si="1"/>
        <v/>
      </c>
      <c r="G293" s="25"/>
    </row>
    <row r="294" ht="15.75" customHeight="1">
      <c r="A294" s="25"/>
      <c r="D294" s="25" t="str">
        <f t="array" ref="D294">IF(OR($A294="",$G294=""),"",_xlfn.XLOOKUP($G294,Labor_Rates!$A$3:$A$7,Labor_Rates!$B$3:$B$7,""))</f>
        <v/>
      </c>
      <c r="E294" s="25" t="str">
        <f t="shared" si="1"/>
        <v/>
      </c>
      <c r="G294" s="25"/>
    </row>
    <row r="295" ht="15.75" customHeight="1">
      <c r="A295" s="25"/>
      <c r="D295" s="25" t="str">
        <f t="array" ref="D295">IF(OR($A295="",$G295=""),"",_xlfn.XLOOKUP($G295,Labor_Rates!$A$3:$A$7,Labor_Rates!$B$3:$B$7,""))</f>
        <v/>
      </c>
      <c r="E295" s="25" t="str">
        <f t="shared" si="1"/>
        <v/>
      </c>
      <c r="G295" s="25"/>
    </row>
    <row r="296" ht="15.75" customHeight="1">
      <c r="A296" s="25"/>
      <c r="D296" s="25" t="str">
        <f t="array" ref="D296">IF(OR($A296="",$G296=""),"",_xlfn.XLOOKUP($G296,Labor_Rates!$A$3:$A$7,Labor_Rates!$B$3:$B$7,""))</f>
        <v/>
      </c>
      <c r="E296" s="25" t="str">
        <f t="shared" si="1"/>
        <v/>
      </c>
      <c r="G296" s="25"/>
    </row>
    <row r="297" ht="15.75" customHeight="1">
      <c r="A297" s="25"/>
      <c r="D297" s="25" t="str">
        <f t="array" ref="D297">IF(OR($A297="",$G297=""),"",_xlfn.XLOOKUP($G297,Labor_Rates!$A$3:$A$7,Labor_Rates!$B$3:$B$7,""))</f>
        <v/>
      </c>
      <c r="E297" s="25" t="str">
        <f t="shared" si="1"/>
        <v/>
      </c>
      <c r="G297" s="25"/>
    </row>
    <row r="298" ht="15.75" customHeight="1">
      <c r="A298" s="25"/>
      <c r="D298" s="25" t="str">
        <f t="array" ref="D298">IF(OR($A298="",$G298=""),"",_xlfn.XLOOKUP($G298,Labor_Rates!$A$3:$A$7,Labor_Rates!$B$3:$B$7,""))</f>
        <v/>
      </c>
      <c r="E298" s="25" t="str">
        <f t="shared" si="1"/>
        <v/>
      </c>
      <c r="G298" s="25"/>
    </row>
    <row r="299" ht="15.75" customHeight="1">
      <c r="A299" s="25"/>
      <c r="D299" s="25" t="str">
        <f t="array" ref="D299">IF(OR($A299="",$G299=""),"",_xlfn.XLOOKUP($G299,Labor_Rates!$A$3:$A$7,Labor_Rates!$B$3:$B$7,""))</f>
        <v/>
      </c>
      <c r="E299" s="25" t="str">
        <f t="shared" si="1"/>
        <v/>
      </c>
      <c r="G299" s="25"/>
    </row>
    <row r="300" ht="15.75" customHeight="1">
      <c r="A300" s="25"/>
      <c r="D300" s="25" t="str">
        <f t="array" ref="D300">IF(OR($A300="",$G300=""),"",_xlfn.XLOOKUP($G300,Labor_Rates!$A$3:$A$7,Labor_Rates!$B$3:$B$7,""))</f>
        <v/>
      </c>
      <c r="E300" s="25" t="str">
        <f t="shared" si="1"/>
        <v/>
      </c>
      <c r="G300" s="2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300">
      <formula1>"General Conditions &amp; Project Management,Selective Demolition,Framing,Windows &amp; Exterior Openings,Plumbing &amp; Waste Pump System,Electrical,HVAC - 3 Zone Mini Split,Insulation &amp; Air Sealing,Drywall &amp; Finishing,Suspended Ceiling System,Interior Doors,Trim &amp; H"&amp;"ardware,Flooring,Painting,Master Bathroom,Kitchen,Cleanup &amp; Closeout"</formula1>
    </dataValidation>
    <dataValidation type="list" allowBlank="1" sqref="G2:G300">
      <formula1>"General Labor,Team Lead,Electrical/HVAC,Plumbing,Project Manager"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4.0"/>
    <col customWidth="1" min="3" max="3" width="32.0"/>
    <col customWidth="1" min="4" max="8" width="12.0"/>
    <col customWidth="1" min="9" max="9" width="34.0"/>
    <col customWidth="1" min="10" max="26" width="8.63"/>
  </cols>
  <sheetData>
    <row r="1">
      <c r="A1" s="1" t="s">
        <v>0</v>
      </c>
      <c r="B1" s="1" t="s">
        <v>10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16</v>
      </c>
    </row>
    <row r="2">
      <c r="A2" s="7" t="s">
        <v>18</v>
      </c>
      <c r="B2" s="7" t="s">
        <v>19</v>
      </c>
      <c r="C2" s="7" t="s">
        <v>20</v>
      </c>
      <c r="D2" s="8">
        <v>1.0</v>
      </c>
      <c r="E2" s="7" t="s">
        <v>24</v>
      </c>
      <c r="F2" s="11">
        <v>185.0</v>
      </c>
      <c r="G2" s="13">
        <v>0.0</v>
      </c>
      <c r="H2" s="11">
        <f t="shared" ref="H2:H52" si="1">IF(OR($A2="",$D2=""),"",$D2*$F2*(1+$G2))</f>
        <v>185</v>
      </c>
      <c r="I2" s="7" t="s">
        <v>35</v>
      </c>
    </row>
    <row r="3">
      <c r="A3" s="7" t="s">
        <v>21</v>
      </c>
      <c r="B3" s="7" t="s">
        <v>40</v>
      </c>
      <c r="C3" s="7" t="s">
        <v>41</v>
      </c>
      <c r="D3" s="8">
        <v>1.0</v>
      </c>
      <c r="E3" s="7" t="s">
        <v>24</v>
      </c>
      <c r="F3" s="11">
        <v>185.0</v>
      </c>
      <c r="G3" s="13">
        <v>0.0</v>
      </c>
      <c r="H3" s="11">
        <f t="shared" si="1"/>
        <v>185</v>
      </c>
      <c r="I3" s="7" t="s">
        <v>35</v>
      </c>
    </row>
    <row r="4">
      <c r="A4" s="7" t="s">
        <v>36</v>
      </c>
      <c r="B4" s="7" t="s">
        <v>48</v>
      </c>
      <c r="C4" s="7" t="s">
        <v>49</v>
      </c>
      <c r="D4" s="8">
        <v>4.0</v>
      </c>
      <c r="E4" s="7" t="s">
        <v>51</v>
      </c>
      <c r="F4" s="11">
        <v>45.0</v>
      </c>
      <c r="G4" s="13">
        <v>0.0</v>
      </c>
      <c r="H4" s="11">
        <f t="shared" si="1"/>
        <v>180</v>
      </c>
      <c r="I4" s="7" t="s">
        <v>35</v>
      </c>
    </row>
    <row r="5">
      <c r="A5" s="7" t="s">
        <v>36</v>
      </c>
      <c r="B5" s="7" t="s">
        <v>54</v>
      </c>
      <c r="C5" s="7" t="s">
        <v>55</v>
      </c>
      <c r="D5" s="8">
        <v>1.0</v>
      </c>
      <c r="E5" s="7" t="s">
        <v>24</v>
      </c>
      <c r="F5" s="11">
        <v>185.0</v>
      </c>
      <c r="G5" s="13">
        <v>0.0</v>
      </c>
      <c r="H5" s="11">
        <f t="shared" si="1"/>
        <v>185</v>
      </c>
      <c r="I5" s="7" t="s">
        <v>35</v>
      </c>
    </row>
    <row r="6">
      <c r="A6" s="7" t="s">
        <v>36</v>
      </c>
      <c r="B6" s="7" t="s">
        <v>60</v>
      </c>
      <c r="C6" s="7" t="s">
        <v>61</v>
      </c>
      <c r="D6" s="8">
        <v>1.0</v>
      </c>
      <c r="E6" s="7" t="s">
        <v>24</v>
      </c>
      <c r="F6" s="11">
        <v>225.0</v>
      </c>
      <c r="G6" s="13">
        <v>0.0</v>
      </c>
      <c r="H6" s="11">
        <f t="shared" si="1"/>
        <v>225</v>
      </c>
      <c r="I6" s="7" t="s">
        <v>35</v>
      </c>
    </row>
    <row r="7">
      <c r="A7" s="7" t="s">
        <v>36</v>
      </c>
      <c r="B7" s="7" t="s">
        <v>62</v>
      </c>
      <c r="C7" s="7" t="s">
        <v>63</v>
      </c>
      <c r="D7" s="8">
        <v>4.2</v>
      </c>
      <c r="E7" s="7" t="s">
        <v>51</v>
      </c>
      <c r="F7" s="11">
        <v>165.0</v>
      </c>
      <c r="G7" s="13">
        <v>0.0</v>
      </c>
      <c r="H7" s="11">
        <f t="shared" si="1"/>
        <v>693</v>
      </c>
      <c r="I7" s="7" t="s">
        <v>35</v>
      </c>
    </row>
    <row r="8">
      <c r="A8" s="7" t="s">
        <v>36</v>
      </c>
      <c r="B8" s="7" t="s">
        <v>65</v>
      </c>
      <c r="C8" s="7" t="s">
        <v>66</v>
      </c>
      <c r="D8" s="8">
        <v>1.0</v>
      </c>
      <c r="E8" s="7" t="s">
        <v>24</v>
      </c>
      <c r="F8" s="11">
        <v>185.0</v>
      </c>
      <c r="G8" s="13">
        <v>0.0</v>
      </c>
      <c r="H8" s="11">
        <f t="shared" si="1"/>
        <v>185</v>
      </c>
      <c r="I8" s="7" t="s">
        <v>35</v>
      </c>
    </row>
    <row r="9">
      <c r="A9" s="7" t="s">
        <v>67</v>
      </c>
      <c r="B9" s="7" t="s">
        <v>69</v>
      </c>
      <c r="C9" s="7" t="s">
        <v>70</v>
      </c>
      <c r="D9" s="8">
        <v>1.0</v>
      </c>
      <c r="E9" s="7" t="s">
        <v>24</v>
      </c>
      <c r="F9" s="11">
        <v>585.0</v>
      </c>
      <c r="G9" s="13">
        <v>0.05</v>
      </c>
      <c r="H9" s="11">
        <f t="shared" si="1"/>
        <v>614.25</v>
      </c>
      <c r="I9" s="7" t="s">
        <v>35</v>
      </c>
    </row>
    <row r="10">
      <c r="A10" s="7" t="s">
        <v>67</v>
      </c>
      <c r="B10" s="7" t="s">
        <v>72</v>
      </c>
      <c r="C10" s="7" t="s">
        <v>73</v>
      </c>
      <c r="D10" s="8">
        <v>5.0</v>
      </c>
      <c r="E10" s="7" t="s">
        <v>74</v>
      </c>
      <c r="F10" s="11">
        <v>48.0</v>
      </c>
      <c r="G10" s="13">
        <v>0.05</v>
      </c>
      <c r="H10" s="11">
        <f t="shared" si="1"/>
        <v>252</v>
      </c>
      <c r="I10" s="7" t="s">
        <v>35</v>
      </c>
    </row>
    <row r="11">
      <c r="A11" s="7" t="s">
        <v>67</v>
      </c>
      <c r="B11" s="7" t="s">
        <v>75</v>
      </c>
      <c r="C11" s="7" t="s">
        <v>76</v>
      </c>
      <c r="D11" s="8">
        <v>19.0</v>
      </c>
      <c r="E11" s="7" t="s">
        <v>74</v>
      </c>
      <c r="F11" s="11">
        <v>28.0</v>
      </c>
      <c r="G11" s="13">
        <v>0.08</v>
      </c>
      <c r="H11" s="11">
        <f t="shared" si="1"/>
        <v>574.56</v>
      </c>
      <c r="I11" s="7" t="s">
        <v>35</v>
      </c>
    </row>
    <row r="12">
      <c r="A12" s="7" t="s">
        <v>67</v>
      </c>
      <c r="B12" s="7" t="s">
        <v>78</v>
      </c>
      <c r="C12" s="7" t="s">
        <v>79</v>
      </c>
      <c r="D12" s="8">
        <v>1.0</v>
      </c>
      <c r="E12" s="7" t="s">
        <v>24</v>
      </c>
      <c r="F12" s="11">
        <v>385.0</v>
      </c>
      <c r="G12" s="13">
        <v>0.0</v>
      </c>
      <c r="H12" s="11">
        <f t="shared" si="1"/>
        <v>385</v>
      </c>
      <c r="I12" s="7" t="s">
        <v>35</v>
      </c>
    </row>
    <row r="13">
      <c r="A13" s="7" t="s">
        <v>67</v>
      </c>
      <c r="B13" s="7" t="s">
        <v>80</v>
      </c>
      <c r="C13" s="7" t="s">
        <v>81</v>
      </c>
      <c r="D13" s="8">
        <v>10.0</v>
      </c>
      <c r="E13" s="7" t="s">
        <v>82</v>
      </c>
      <c r="F13" s="11">
        <v>15.0</v>
      </c>
      <c r="G13" s="13">
        <v>0.05</v>
      </c>
      <c r="H13" s="11">
        <f t="shared" si="1"/>
        <v>157.5</v>
      </c>
      <c r="I13" s="7" t="s">
        <v>35</v>
      </c>
    </row>
    <row r="14">
      <c r="A14" s="7" t="s">
        <v>84</v>
      </c>
      <c r="B14" s="7" t="s">
        <v>85</v>
      </c>
      <c r="C14" s="7" t="s">
        <v>86</v>
      </c>
      <c r="D14" s="8">
        <v>1.0</v>
      </c>
      <c r="E14" s="7" t="s">
        <v>24</v>
      </c>
      <c r="F14" s="11">
        <v>95.0</v>
      </c>
      <c r="G14" s="13">
        <v>0.0</v>
      </c>
      <c r="H14" s="11">
        <f t="shared" si="1"/>
        <v>95</v>
      </c>
      <c r="I14" s="7" t="s">
        <v>35</v>
      </c>
    </row>
    <row r="15">
      <c r="A15" s="7" t="s">
        <v>84</v>
      </c>
      <c r="B15" s="7" t="s">
        <v>87</v>
      </c>
      <c r="C15" s="7" t="s">
        <v>88</v>
      </c>
      <c r="D15" s="8">
        <v>3.3</v>
      </c>
      <c r="E15" s="7" t="s">
        <v>89</v>
      </c>
      <c r="F15" s="11">
        <v>110.0</v>
      </c>
      <c r="G15" s="13">
        <v>0.1</v>
      </c>
      <c r="H15" s="11">
        <f t="shared" si="1"/>
        <v>399.3</v>
      </c>
      <c r="I15" s="7" t="s">
        <v>35</v>
      </c>
    </row>
    <row r="16">
      <c r="A16" s="7" t="s">
        <v>84</v>
      </c>
      <c r="B16" s="7" t="s">
        <v>90</v>
      </c>
      <c r="C16" s="7" t="s">
        <v>91</v>
      </c>
      <c r="D16" s="8">
        <v>1.0</v>
      </c>
      <c r="E16" s="7" t="s">
        <v>24</v>
      </c>
      <c r="F16" s="11">
        <v>345.0</v>
      </c>
      <c r="G16" s="13">
        <v>0.0</v>
      </c>
      <c r="H16" s="11">
        <f t="shared" si="1"/>
        <v>345</v>
      </c>
      <c r="I16" s="7" t="s">
        <v>35</v>
      </c>
    </row>
    <row r="17">
      <c r="A17" s="7" t="s">
        <v>93</v>
      </c>
      <c r="B17" s="7" t="s">
        <v>94</v>
      </c>
      <c r="C17" s="7" t="s">
        <v>95</v>
      </c>
      <c r="D17" s="8">
        <v>1.0</v>
      </c>
      <c r="E17" s="7" t="s">
        <v>24</v>
      </c>
      <c r="F17" s="11">
        <v>285.0</v>
      </c>
      <c r="G17" s="13">
        <v>0.08</v>
      </c>
      <c r="H17" s="11">
        <f t="shared" si="1"/>
        <v>307.8</v>
      </c>
      <c r="I17" s="7" t="s">
        <v>35</v>
      </c>
    </row>
    <row r="18">
      <c r="A18" s="7" t="s">
        <v>93</v>
      </c>
      <c r="B18" s="7" t="s">
        <v>97</v>
      </c>
      <c r="C18" s="7" t="s">
        <v>98</v>
      </c>
      <c r="D18" s="8">
        <v>1.0</v>
      </c>
      <c r="E18" s="7" t="s">
        <v>24</v>
      </c>
      <c r="F18" s="11">
        <v>345.0</v>
      </c>
      <c r="G18" s="13">
        <v>0.1</v>
      </c>
      <c r="H18" s="11">
        <f t="shared" si="1"/>
        <v>379.5</v>
      </c>
      <c r="I18" s="7" t="s">
        <v>35</v>
      </c>
    </row>
    <row r="19">
      <c r="A19" s="7" t="s">
        <v>93</v>
      </c>
      <c r="B19" s="7" t="s">
        <v>99</v>
      </c>
      <c r="C19" s="7" t="s">
        <v>100</v>
      </c>
      <c r="D19" s="8">
        <v>1.0</v>
      </c>
      <c r="E19" s="7" t="s">
        <v>24</v>
      </c>
      <c r="F19" s="11">
        <v>585.0</v>
      </c>
      <c r="G19" s="13">
        <v>0.1</v>
      </c>
      <c r="H19" s="11">
        <f t="shared" si="1"/>
        <v>643.5</v>
      </c>
      <c r="I19" s="7" t="s">
        <v>35</v>
      </c>
    </row>
    <row r="20">
      <c r="A20" s="7" t="s">
        <v>93</v>
      </c>
      <c r="B20" s="7" t="s">
        <v>101</v>
      </c>
      <c r="C20" s="7" t="s">
        <v>102</v>
      </c>
      <c r="D20" s="8">
        <v>1.0</v>
      </c>
      <c r="E20" s="7" t="s">
        <v>24</v>
      </c>
      <c r="F20" s="11">
        <v>245.0</v>
      </c>
      <c r="G20" s="13">
        <v>0.05</v>
      </c>
      <c r="H20" s="11">
        <f t="shared" si="1"/>
        <v>257.25</v>
      </c>
      <c r="I20" s="7" t="s">
        <v>35</v>
      </c>
    </row>
    <row r="21" ht="15.75" customHeight="1">
      <c r="A21" s="7" t="s">
        <v>93</v>
      </c>
      <c r="B21" s="7" t="s">
        <v>103</v>
      </c>
      <c r="C21" s="7" t="s">
        <v>104</v>
      </c>
      <c r="D21" s="8">
        <v>1.0</v>
      </c>
      <c r="E21" s="7" t="s">
        <v>74</v>
      </c>
      <c r="F21" s="11">
        <v>125.0</v>
      </c>
      <c r="G21" s="13">
        <v>0.0</v>
      </c>
      <c r="H21" s="11">
        <f t="shared" si="1"/>
        <v>125</v>
      </c>
      <c r="I21" s="7" t="s">
        <v>106</v>
      </c>
    </row>
    <row r="22" ht="15.75" customHeight="1">
      <c r="A22" s="7" t="s">
        <v>107</v>
      </c>
      <c r="B22" s="7" t="s">
        <v>108</v>
      </c>
      <c r="C22" s="7" t="s">
        <v>109</v>
      </c>
      <c r="D22" s="8">
        <v>1.0</v>
      </c>
      <c r="E22" s="7" t="s">
        <v>24</v>
      </c>
      <c r="F22" s="11">
        <v>3500.0</v>
      </c>
      <c r="G22" s="13">
        <v>0.0</v>
      </c>
      <c r="H22" s="11">
        <f t="shared" si="1"/>
        <v>3500</v>
      </c>
      <c r="I22" s="7" t="s">
        <v>111</v>
      </c>
    </row>
    <row r="23" ht="15.75" customHeight="1">
      <c r="A23" s="7" t="s">
        <v>107</v>
      </c>
      <c r="B23" s="7" t="s">
        <v>112</v>
      </c>
      <c r="C23" s="7" t="s">
        <v>113</v>
      </c>
      <c r="D23" s="8">
        <v>1.0</v>
      </c>
      <c r="E23" s="7" t="s">
        <v>24</v>
      </c>
      <c r="F23" s="11">
        <v>685.0</v>
      </c>
      <c r="G23" s="13">
        <v>0.05</v>
      </c>
      <c r="H23" s="11">
        <f t="shared" si="1"/>
        <v>719.25</v>
      </c>
      <c r="I23" s="7" t="s">
        <v>35</v>
      </c>
    </row>
    <row r="24" ht="15.75" customHeight="1">
      <c r="A24" s="7" t="s">
        <v>107</v>
      </c>
      <c r="B24" s="7" t="s">
        <v>114</v>
      </c>
      <c r="C24" s="7" t="s">
        <v>115</v>
      </c>
      <c r="D24" s="8">
        <v>1.0</v>
      </c>
      <c r="E24" s="7" t="s">
        <v>24</v>
      </c>
      <c r="F24" s="11">
        <v>285.0</v>
      </c>
      <c r="G24" s="13">
        <v>0.0</v>
      </c>
      <c r="H24" s="11">
        <f t="shared" si="1"/>
        <v>285</v>
      </c>
      <c r="I24" s="7" t="s">
        <v>35</v>
      </c>
    </row>
    <row r="25" ht="15.75" customHeight="1">
      <c r="A25" s="7" t="s">
        <v>107</v>
      </c>
      <c r="B25" s="7" t="s">
        <v>116</v>
      </c>
      <c r="C25" s="7" t="s">
        <v>117</v>
      </c>
      <c r="D25" s="8">
        <v>1.0</v>
      </c>
      <c r="E25" s="7" t="s">
        <v>24</v>
      </c>
      <c r="F25" s="11">
        <v>225.0</v>
      </c>
      <c r="G25" s="13">
        <v>0.0</v>
      </c>
      <c r="H25" s="11">
        <f t="shared" si="1"/>
        <v>225</v>
      </c>
      <c r="I25" s="7" t="s">
        <v>35</v>
      </c>
    </row>
    <row r="26" ht="15.75" customHeight="1">
      <c r="A26" s="7" t="s">
        <v>107</v>
      </c>
      <c r="B26" s="7" t="s">
        <v>118</v>
      </c>
      <c r="C26" s="7" t="s">
        <v>119</v>
      </c>
      <c r="D26" s="8">
        <v>1.0</v>
      </c>
      <c r="E26" s="7" t="s">
        <v>24</v>
      </c>
      <c r="F26" s="11">
        <v>245.0</v>
      </c>
      <c r="G26" s="13">
        <v>0.0</v>
      </c>
      <c r="H26" s="11">
        <f t="shared" si="1"/>
        <v>245</v>
      </c>
      <c r="I26" s="7" t="s">
        <v>35</v>
      </c>
    </row>
    <row r="27" ht="15.75" customHeight="1">
      <c r="A27" s="7" t="s">
        <v>121</v>
      </c>
      <c r="B27" s="7" t="s">
        <v>122</v>
      </c>
      <c r="C27" s="7" t="s">
        <v>123</v>
      </c>
      <c r="D27" s="8">
        <v>150.0</v>
      </c>
      <c r="E27" s="7" t="s">
        <v>124</v>
      </c>
      <c r="F27" s="11">
        <v>5.0</v>
      </c>
      <c r="G27" s="13">
        <v>0.1</v>
      </c>
      <c r="H27" s="11">
        <f t="shared" si="1"/>
        <v>825</v>
      </c>
      <c r="I27" s="7" t="s">
        <v>125</v>
      </c>
    </row>
    <row r="28" ht="15.75" customHeight="1">
      <c r="A28" s="7" t="s">
        <v>121</v>
      </c>
      <c r="B28" s="7" t="s">
        <v>126</v>
      </c>
      <c r="C28" s="7" t="s">
        <v>127</v>
      </c>
      <c r="D28" s="8">
        <v>24.0</v>
      </c>
      <c r="E28" s="7" t="s">
        <v>124</v>
      </c>
      <c r="F28" s="11">
        <v>5.0</v>
      </c>
      <c r="G28" s="13">
        <v>0.1</v>
      </c>
      <c r="H28" s="11">
        <f t="shared" si="1"/>
        <v>132</v>
      </c>
      <c r="I28" s="7" t="s">
        <v>125</v>
      </c>
    </row>
    <row r="29" ht="15.75" customHeight="1">
      <c r="A29" s="7" t="s">
        <v>121</v>
      </c>
      <c r="B29" s="7" t="s">
        <v>128</v>
      </c>
      <c r="C29" s="7" t="s">
        <v>129</v>
      </c>
      <c r="D29" s="8">
        <v>1.0</v>
      </c>
      <c r="E29" s="7" t="s">
        <v>24</v>
      </c>
      <c r="F29" s="11">
        <v>1000.0</v>
      </c>
      <c r="G29" s="13">
        <v>0.0</v>
      </c>
      <c r="H29" s="11">
        <f t="shared" si="1"/>
        <v>1000</v>
      </c>
      <c r="I29" s="7" t="s">
        <v>130</v>
      </c>
    </row>
    <row r="30" ht="15.75" customHeight="1">
      <c r="A30" s="7" t="s">
        <v>121</v>
      </c>
      <c r="B30" s="7" t="s">
        <v>132</v>
      </c>
      <c r="C30" s="7" t="s">
        <v>133</v>
      </c>
      <c r="D30" s="8">
        <v>1.0</v>
      </c>
      <c r="E30" s="7" t="s">
        <v>24</v>
      </c>
      <c r="F30" s="11">
        <v>345.0</v>
      </c>
      <c r="G30" s="13">
        <v>0.0</v>
      </c>
      <c r="H30" s="11">
        <f t="shared" si="1"/>
        <v>345</v>
      </c>
      <c r="I30" s="7" t="s">
        <v>35</v>
      </c>
    </row>
    <row r="31" ht="15.75" customHeight="1">
      <c r="A31" s="7" t="s">
        <v>134</v>
      </c>
      <c r="B31" s="7" t="s">
        <v>135</v>
      </c>
      <c r="C31" s="7" t="s">
        <v>136</v>
      </c>
      <c r="D31" s="8">
        <v>1.0</v>
      </c>
      <c r="E31" s="7" t="s">
        <v>24</v>
      </c>
      <c r="F31" s="11">
        <v>95.0</v>
      </c>
      <c r="G31" s="13">
        <v>0.0</v>
      </c>
      <c r="H31" s="11">
        <f t="shared" si="1"/>
        <v>95</v>
      </c>
      <c r="I31" s="7" t="s">
        <v>137</v>
      </c>
    </row>
    <row r="32" ht="15.75" customHeight="1">
      <c r="A32" s="7" t="s">
        <v>138</v>
      </c>
      <c r="B32" s="7" t="s">
        <v>139</v>
      </c>
      <c r="C32" s="7" t="s">
        <v>140</v>
      </c>
      <c r="D32" s="8">
        <v>1.0</v>
      </c>
      <c r="E32" s="7" t="s">
        <v>24</v>
      </c>
      <c r="F32" s="11">
        <v>65.0</v>
      </c>
      <c r="G32" s="13">
        <v>0.0</v>
      </c>
      <c r="H32" s="11">
        <f t="shared" si="1"/>
        <v>65</v>
      </c>
      <c r="I32" s="7" t="s">
        <v>35</v>
      </c>
    </row>
    <row r="33" ht="15.75" customHeight="1">
      <c r="A33" s="7" t="s">
        <v>53</v>
      </c>
      <c r="B33" s="7" t="s">
        <v>53</v>
      </c>
      <c r="C33" s="7" t="s">
        <v>53</v>
      </c>
      <c r="D33" s="8">
        <v>1.0</v>
      </c>
      <c r="E33" s="7" t="s">
        <v>24</v>
      </c>
      <c r="F33" s="11">
        <v>0.0</v>
      </c>
      <c r="G33" s="13">
        <v>0.0</v>
      </c>
      <c r="H33" s="11">
        <f t="shared" si="1"/>
        <v>0</v>
      </c>
      <c r="I33" s="7"/>
    </row>
    <row r="34" ht="15.75" customHeight="1">
      <c r="A34" s="7" t="s">
        <v>53</v>
      </c>
      <c r="B34" s="7" t="s">
        <v>53</v>
      </c>
      <c r="C34" s="7" t="s">
        <v>53</v>
      </c>
      <c r="D34" s="8">
        <v>1.0</v>
      </c>
      <c r="E34" s="7" t="s">
        <v>24</v>
      </c>
      <c r="F34" s="11">
        <v>0.0</v>
      </c>
      <c r="G34" s="13">
        <v>0.0</v>
      </c>
      <c r="H34" s="11">
        <f t="shared" si="1"/>
        <v>0</v>
      </c>
      <c r="I34" s="7"/>
    </row>
    <row r="35" ht="15.75" customHeight="1">
      <c r="A35" s="7" t="s">
        <v>53</v>
      </c>
      <c r="B35" s="7" t="s">
        <v>53</v>
      </c>
      <c r="C35" s="7" t="s">
        <v>53</v>
      </c>
      <c r="D35" s="8">
        <v>1.0</v>
      </c>
      <c r="E35" s="7" t="s">
        <v>24</v>
      </c>
      <c r="F35" s="11">
        <v>0.0</v>
      </c>
      <c r="G35" s="13">
        <v>0.0</v>
      </c>
      <c r="H35" s="11">
        <f t="shared" si="1"/>
        <v>0</v>
      </c>
      <c r="I35" s="7"/>
    </row>
    <row r="36" ht="15.75" customHeight="1">
      <c r="A36" s="7" t="s">
        <v>53</v>
      </c>
      <c r="B36" s="7" t="s">
        <v>53</v>
      </c>
      <c r="C36" s="7" t="s">
        <v>53</v>
      </c>
      <c r="D36" s="8">
        <v>1.0</v>
      </c>
      <c r="E36" s="7" t="s">
        <v>24</v>
      </c>
      <c r="F36" s="11">
        <v>0.0</v>
      </c>
      <c r="G36" s="13">
        <v>0.0</v>
      </c>
      <c r="H36" s="11">
        <f t="shared" si="1"/>
        <v>0</v>
      </c>
      <c r="I36" s="7"/>
    </row>
    <row r="37" ht="15.75" customHeight="1">
      <c r="A37" s="7" t="s">
        <v>53</v>
      </c>
      <c r="B37" s="7" t="s">
        <v>53</v>
      </c>
      <c r="C37" s="7" t="s">
        <v>53</v>
      </c>
      <c r="D37" s="8">
        <v>1.0</v>
      </c>
      <c r="E37" s="7" t="s">
        <v>24</v>
      </c>
      <c r="F37" s="11">
        <v>0.0</v>
      </c>
      <c r="G37" s="13">
        <v>0.0</v>
      </c>
      <c r="H37" s="11">
        <f t="shared" si="1"/>
        <v>0</v>
      </c>
      <c r="I37" s="7"/>
    </row>
    <row r="38" ht="15.75" customHeight="1">
      <c r="A38" s="7" t="s">
        <v>53</v>
      </c>
      <c r="B38" s="7" t="s">
        <v>53</v>
      </c>
      <c r="C38" s="7" t="s">
        <v>53</v>
      </c>
      <c r="D38" s="8">
        <v>1.0</v>
      </c>
      <c r="E38" s="7" t="s">
        <v>24</v>
      </c>
      <c r="F38" s="11">
        <v>0.0</v>
      </c>
      <c r="G38" s="13">
        <v>0.0</v>
      </c>
      <c r="H38" s="11">
        <f t="shared" si="1"/>
        <v>0</v>
      </c>
      <c r="I38" s="7"/>
    </row>
    <row r="39" ht="15.75" customHeight="1">
      <c r="A39" s="7" t="s">
        <v>53</v>
      </c>
      <c r="B39" s="7" t="s">
        <v>53</v>
      </c>
      <c r="C39" s="7" t="s">
        <v>53</v>
      </c>
      <c r="D39" s="8">
        <v>1.0</v>
      </c>
      <c r="E39" s="7" t="s">
        <v>24</v>
      </c>
      <c r="F39" s="11">
        <v>0.0</v>
      </c>
      <c r="G39" s="13">
        <v>0.0</v>
      </c>
      <c r="H39" s="11">
        <f t="shared" si="1"/>
        <v>0</v>
      </c>
      <c r="I39" s="7"/>
    </row>
    <row r="40" ht="15.75" customHeight="1">
      <c r="A40" s="7" t="s">
        <v>53</v>
      </c>
      <c r="B40" s="7" t="s">
        <v>53</v>
      </c>
      <c r="C40" s="7" t="s">
        <v>53</v>
      </c>
      <c r="D40" s="8">
        <v>1.0</v>
      </c>
      <c r="E40" s="7" t="s">
        <v>24</v>
      </c>
      <c r="F40" s="11">
        <v>0.0</v>
      </c>
      <c r="G40" s="13">
        <v>0.0</v>
      </c>
      <c r="H40" s="11">
        <f t="shared" si="1"/>
        <v>0</v>
      </c>
      <c r="I40" s="7"/>
    </row>
    <row r="41" ht="15.75" customHeight="1">
      <c r="A41" s="7" t="s">
        <v>53</v>
      </c>
      <c r="B41" s="7" t="s">
        <v>53</v>
      </c>
      <c r="C41" s="7" t="s">
        <v>53</v>
      </c>
      <c r="D41" s="8">
        <v>1.0</v>
      </c>
      <c r="E41" s="7" t="s">
        <v>24</v>
      </c>
      <c r="F41" s="11">
        <v>0.0</v>
      </c>
      <c r="G41" s="13">
        <v>0.0</v>
      </c>
      <c r="H41" s="11">
        <f t="shared" si="1"/>
        <v>0</v>
      </c>
      <c r="I41" s="7"/>
    </row>
    <row r="42" ht="15.75" customHeight="1">
      <c r="A42" s="7" t="s">
        <v>53</v>
      </c>
      <c r="B42" s="7" t="s">
        <v>53</v>
      </c>
      <c r="C42" s="7" t="s">
        <v>53</v>
      </c>
      <c r="D42" s="8">
        <v>1.0</v>
      </c>
      <c r="E42" s="7" t="s">
        <v>24</v>
      </c>
      <c r="F42" s="11">
        <v>0.0</v>
      </c>
      <c r="G42" s="13">
        <v>0.0</v>
      </c>
      <c r="H42" s="11">
        <f t="shared" si="1"/>
        <v>0</v>
      </c>
      <c r="I42" s="7"/>
    </row>
    <row r="43" ht="15.75" customHeight="1">
      <c r="A43" s="7" t="s">
        <v>53</v>
      </c>
      <c r="B43" s="7" t="s">
        <v>53</v>
      </c>
      <c r="C43" s="7" t="s">
        <v>53</v>
      </c>
      <c r="D43" s="8">
        <v>1.0</v>
      </c>
      <c r="E43" s="7" t="s">
        <v>24</v>
      </c>
      <c r="F43" s="11">
        <v>0.0</v>
      </c>
      <c r="G43" s="13">
        <v>0.0</v>
      </c>
      <c r="H43" s="11">
        <f t="shared" si="1"/>
        <v>0</v>
      </c>
      <c r="I43" s="7"/>
    </row>
    <row r="44" ht="15.75" customHeight="1">
      <c r="A44" s="7" t="s">
        <v>53</v>
      </c>
      <c r="B44" s="7" t="s">
        <v>53</v>
      </c>
      <c r="C44" s="7" t="s">
        <v>53</v>
      </c>
      <c r="D44" s="8">
        <v>1.0</v>
      </c>
      <c r="E44" s="7" t="s">
        <v>24</v>
      </c>
      <c r="F44" s="11">
        <v>0.0</v>
      </c>
      <c r="G44" s="13">
        <v>0.0</v>
      </c>
      <c r="H44" s="11">
        <f t="shared" si="1"/>
        <v>0</v>
      </c>
      <c r="I44" s="7"/>
    </row>
    <row r="45" ht="15.75" customHeight="1">
      <c r="A45" s="7" t="s">
        <v>53</v>
      </c>
      <c r="B45" s="7" t="s">
        <v>53</v>
      </c>
      <c r="C45" s="7" t="s">
        <v>53</v>
      </c>
      <c r="D45" s="8">
        <v>1.0</v>
      </c>
      <c r="E45" s="7" t="s">
        <v>24</v>
      </c>
      <c r="F45" s="11">
        <v>0.0</v>
      </c>
      <c r="G45" s="13">
        <v>0.0</v>
      </c>
      <c r="H45" s="11">
        <f t="shared" si="1"/>
        <v>0</v>
      </c>
      <c r="I45" s="7"/>
    </row>
    <row r="46" ht="15.75" customHeight="1">
      <c r="A46" s="7" t="s">
        <v>53</v>
      </c>
      <c r="B46" s="7" t="s">
        <v>53</v>
      </c>
      <c r="C46" s="7" t="s">
        <v>53</v>
      </c>
      <c r="D46" s="8">
        <v>1.0</v>
      </c>
      <c r="E46" s="7" t="s">
        <v>24</v>
      </c>
      <c r="F46" s="11">
        <v>0.0</v>
      </c>
      <c r="G46" s="13">
        <v>0.0</v>
      </c>
      <c r="H46" s="11">
        <f t="shared" si="1"/>
        <v>0</v>
      </c>
      <c r="I46" s="7"/>
    </row>
    <row r="47" ht="15.75" customHeight="1">
      <c r="A47" s="7" t="s">
        <v>53</v>
      </c>
      <c r="B47" s="7" t="s">
        <v>53</v>
      </c>
      <c r="C47" s="7" t="s">
        <v>53</v>
      </c>
      <c r="D47" s="8">
        <v>1.0</v>
      </c>
      <c r="E47" s="7" t="s">
        <v>24</v>
      </c>
      <c r="F47" s="11">
        <v>0.0</v>
      </c>
      <c r="G47" s="13">
        <v>0.0</v>
      </c>
      <c r="H47" s="11">
        <f t="shared" si="1"/>
        <v>0</v>
      </c>
      <c r="I47" s="7"/>
    </row>
    <row r="48" ht="15.75" customHeight="1">
      <c r="A48" s="7" t="s">
        <v>53</v>
      </c>
      <c r="B48" s="7" t="s">
        <v>53</v>
      </c>
      <c r="C48" s="7" t="s">
        <v>53</v>
      </c>
      <c r="D48" s="8">
        <v>1.0</v>
      </c>
      <c r="E48" s="7" t="s">
        <v>24</v>
      </c>
      <c r="F48" s="11">
        <v>0.0</v>
      </c>
      <c r="G48" s="13">
        <v>0.0</v>
      </c>
      <c r="H48" s="11">
        <f t="shared" si="1"/>
        <v>0</v>
      </c>
      <c r="I48" s="7"/>
    </row>
    <row r="49" ht="15.75" customHeight="1">
      <c r="A49" s="7" t="s">
        <v>53</v>
      </c>
      <c r="B49" s="7" t="s">
        <v>53</v>
      </c>
      <c r="C49" s="7" t="s">
        <v>53</v>
      </c>
      <c r="D49" s="8">
        <v>1.0</v>
      </c>
      <c r="E49" s="7" t="s">
        <v>24</v>
      </c>
      <c r="F49" s="11">
        <v>0.0</v>
      </c>
      <c r="G49" s="13">
        <v>0.0</v>
      </c>
      <c r="H49" s="11">
        <f t="shared" si="1"/>
        <v>0</v>
      </c>
      <c r="I49" s="7"/>
    </row>
    <row r="50" ht="15.75" customHeight="1">
      <c r="A50" s="7" t="s">
        <v>53</v>
      </c>
      <c r="B50" s="7" t="s">
        <v>53</v>
      </c>
      <c r="C50" s="7" t="s">
        <v>53</v>
      </c>
      <c r="D50" s="8">
        <v>1.0</v>
      </c>
      <c r="E50" s="7" t="s">
        <v>24</v>
      </c>
      <c r="F50" s="11">
        <v>0.0</v>
      </c>
      <c r="G50" s="13">
        <v>0.0</v>
      </c>
      <c r="H50" s="11">
        <f t="shared" si="1"/>
        <v>0</v>
      </c>
      <c r="I50" s="7"/>
    </row>
    <row r="51" ht="15.75" customHeight="1">
      <c r="A51" s="7" t="s">
        <v>53</v>
      </c>
      <c r="B51" s="7" t="s">
        <v>53</v>
      </c>
      <c r="C51" s="7" t="s">
        <v>53</v>
      </c>
      <c r="D51" s="8">
        <v>1.0</v>
      </c>
      <c r="E51" s="7" t="s">
        <v>24</v>
      </c>
      <c r="F51" s="11">
        <v>0.0</v>
      </c>
      <c r="G51" s="13">
        <v>0.0</v>
      </c>
      <c r="H51" s="11">
        <f t="shared" si="1"/>
        <v>0</v>
      </c>
      <c r="I51" s="7"/>
    </row>
    <row r="52" ht="15.75" customHeight="1">
      <c r="A52" s="7" t="s">
        <v>53</v>
      </c>
      <c r="B52" s="7" t="s">
        <v>53</v>
      </c>
      <c r="C52" s="7" t="s">
        <v>53</v>
      </c>
      <c r="D52" s="8">
        <v>1.0</v>
      </c>
      <c r="E52" s="7" t="s">
        <v>24</v>
      </c>
      <c r="F52" s="11">
        <v>0.0</v>
      </c>
      <c r="G52" s="13">
        <v>0.0</v>
      </c>
      <c r="H52" s="11">
        <f t="shared" si="1"/>
        <v>0</v>
      </c>
      <c r="I52" s="7"/>
    </row>
    <row r="53" ht="15.75" customHeight="1">
      <c r="A53" s="7"/>
      <c r="B53" s="7"/>
      <c r="C53" s="7"/>
      <c r="D53" s="8"/>
      <c r="E53" s="7"/>
      <c r="F53" s="11"/>
      <c r="G53" s="13"/>
      <c r="H53" s="11" t="str">
        <f t="shared" ref="H53:H400" si="2">IF(OR($A53="",$D53="",$F53=""),"",$D53*$F53*(1+$G53))</f>
        <v/>
      </c>
      <c r="I53" s="7"/>
    </row>
    <row r="54" ht="15.75" customHeight="1">
      <c r="A54" s="7"/>
      <c r="B54" s="7"/>
      <c r="C54" s="7"/>
      <c r="D54" s="8"/>
      <c r="E54" s="7"/>
      <c r="F54" s="11"/>
      <c r="G54" s="13"/>
      <c r="H54" s="11" t="str">
        <f t="shared" si="2"/>
        <v/>
      </c>
      <c r="I54" s="7"/>
    </row>
    <row r="55" ht="15.75" customHeight="1">
      <c r="A55" s="7"/>
      <c r="B55" s="7"/>
      <c r="C55" s="7"/>
      <c r="D55" s="8"/>
      <c r="E55" s="7"/>
      <c r="F55" s="11"/>
      <c r="G55" s="13"/>
      <c r="H55" s="11" t="str">
        <f t="shared" si="2"/>
        <v/>
      </c>
      <c r="I55" s="7"/>
    </row>
    <row r="56" ht="15.75" customHeight="1">
      <c r="A56" s="7"/>
      <c r="B56" s="7"/>
      <c r="C56" s="7"/>
      <c r="D56" s="8"/>
      <c r="E56" s="7"/>
      <c r="F56" s="11"/>
      <c r="G56" s="13"/>
      <c r="H56" s="11" t="str">
        <f t="shared" si="2"/>
        <v/>
      </c>
      <c r="I56" s="7"/>
    </row>
    <row r="57" ht="15.75" customHeight="1">
      <c r="A57" s="7"/>
      <c r="B57" s="7"/>
      <c r="C57" s="7"/>
      <c r="D57" s="8"/>
      <c r="E57" s="7"/>
      <c r="F57" s="11"/>
      <c r="G57" s="13"/>
      <c r="H57" s="11" t="str">
        <f t="shared" si="2"/>
        <v/>
      </c>
      <c r="I57" s="7"/>
    </row>
    <row r="58" ht="15.75" customHeight="1">
      <c r="A58" s="7"/>
      <c r="B58" s="7"/>
      <c r="C58" s="7"/>
      <c r="D58" s="8"/>
      <c r="E58" s="7"/>
      <c r="F58" s="11"/>
      <c r="G58" s="13"/>
      <c r="H58" s="11" t="str">
        <f t="shared" si="2"/>
        <v/>
      </c>
      <c r="I58" s="7"/>
    </row>
    <row r="59" ht="15.75" customHeight="1">
      <c r="A59" s="7"/>
      <c r="B59" s="7"/>
      <c r="C59" s="7"/>
      <c r="D59" s="8"/>
      <c r="E59" s="7"/>
      <c r="F59" s="11"/>
      <c r="G59" s="13"/>
      <c r="H59" s="11" t="str">
        <f t="shared" si="2"/>
        <v/>
      </c>
      <c r="I59" s="7"/>
    </row>
    <row r="60" ht="15.75" customHeight="1">
      <c r="A60" s="7"/>
      <c r="B60" s="7"/>
      <c r="C60" s="7"/>
      <c r="D60" s="8"/>
      <c r="E60" s="7"/>
      <c r="F60" s="11"/>
      <c r="G60" s="13"/>
      <c r="H60" s="11" t="str">
        <f t="shared" si="2"/>
        <v/>
      </c>
      <c r="I60" s="7"/>
    </row>
    <row r="61" ht="15.75" customHeight="1">
      <c r="A61" s="7"/>
      <c r="B61" s="7"/>
      <c r="C61" s="7"/>
      <c r="D61" s="8"/>
      <c r="E61" s="7"/>
      <c r="F61" s="11"/>
      <c r="G61" s="13"/>
      <c r="H61" s="11" t="str">
        <f t="shared" si="2"/>
        <v/>
      </c>
      <c r="I61" s="7"/>
    </row>
    <row r="62" ht="15.75" customHeight="1">
      <c r="A62" s="7"/>
      <c r="B62" s="7"/>
      <c r="C62" s="7"/>
      <c r="D62" s="8"/>
      <c r="E62" s="7"/>
      <c r="F62" s="11"/>
      <c r="G62" s="13"/>
      <c r="H62" s="11" t="str">
        <f t="shared" si="2"/>
        <v/>
      </c>
      <c r="I62" s="7"/>
    </row>
    <row r="63" ht="15.75" customHeight="1">
      <c r="A63" s="7"/>
      <c r="B63" s="7"/>
      <c r="C63" s="7"/>
      <c r="D63" s="8"/>
      <c r="E63" s="7"/>
      <c r="F63" s="11"/>
      <c r="G63" s="13"/>
      <c r="H63" s="11" t="str">
        <f t="shared" si="2"/>
        <v/>
      </c>
      <c r="I63" s="7"/>
    </row>
    <row r="64" ht="15.75" customHeight="1">
      <c r="A64" s="7"/>
      <c r="B64" s="7"/>
      <c r="C64" s="7"/>
      <c r="D64" s="8"/>
      <c r="E64" s="7"/>
      <c r="F64" s="11"/>
      <c r="G64" s="13"/>
      <c r="H64" s="11" t="str">
        <f t="shared" si="2"/>
        <v/>
      </c>
      <c r="I64" s="7"/>
    </row>
    <row r="65" ht="15.75" customHeight="1">
      <c r="A65" s="7"/>
      <c r="B65" s="7"/>
      <c r="C65" s="7"/>
      <c r="D65" s="8"/>
      <c r="E65" s="7"/>
      <c r="F65" s="11"/>
      <c r="G65" s="13"/>
      <c r="H65" s="11" t="str">
        <f t="shared" si="2"/>
        <v/>
      </c>
      <c r="I65" s="7"/>
    </row>
    <row r="66" ht="15.75" customHeight="1">
      <c r="A66" s="7"/>
      <c r="B66" s="7"/>
      <c r="C66" s="7"/>
      <c r="D66" s="8"/>
      <c r="E66" s="7"/>
      <c r="F66" s="11"/>
      <c r="G66" s="13"/>
      <c r="H66" s="11" t="str">
        <f t="shared" si="2"/>
        <v/>
      </c>
      <c r="I66" s="7"/>
    </row>
    <row r="67" ht="15.75" customHeight="1">
      <c r="A67" s="7"/>
      <c r="B67" s="7"/>
      <c r="C67" s="7"/>
      <c r="D67" s="8"/>
      <c r="E67" s="7"/>
      <c r="F67" s="11"/>
      <c r="G67" s="13"/>
      <c r="H67" s="11" t="str">
        <f t="shared" si="2"/>
        <v/>
      </c>
      <c r="I67" s="7"/>
    </row>
    <row r="68" ht="15.75" customHeight="1">
      <c r="A68" s="7"/>
      <c r="B68" s="7"/>
      <c r="C68" s="7"/>
      <c r="D68" s="8"/>
      <c r="E68" s="7"/>
      <c r="F68" s="11"/>
      <c r="G68" s="13"/>
      <c r="H68" s="11" t="str">
        <f t="shared" si="2"/>
        <v/>
      </c>
      <c r="I68" s="7"/>
    </row>
    <row r="69" ht="15.75" customHeight="1">
      <c r="A69" s="7"/>
      <c r="B69" s="7"/>
      <c r="C69" s="7"/>
      <c r="D69" s="8"/>
      <c r="E69" s="7"/>
      <c r="F69" s="11"/>
      <c r="G69" s="13"/>
      <c r="H69" s="11" t="str">
        <f t="shared" si="2"/>
        <v/>
      </c>
      <c r="I69" s="7"/>
    </row>
    <row r="70" ht="15.75" customHeight="1">
      <c r="A70" s="7"/>
      <c r="B70" s="7"/>
      <c r="C70" s="7"/>
      <c r="D70" s="8"/>
      <c r="E70" s="7"/>
      <c r="F70" s="11"/>
      <c r="G70" s="13"/>
      <c r="H70" s="11" t="str">
        <f t="shared" si="2"/>
        <v/>
      </c>
      <c r="I70" s="7"/>
    </row>
    <row r="71" ht="15.75" customHeight="1">
      <c r="A71" s="7"/>
      <c r="B71" s="7"/>
      <c r="C71" s="7"/>
      <c r="D71" s="8"/>
      <c r="E71" s="7"/>
      <c r="F71" s="11"/>
      <c r="G71" s="13"/>
      <c r="H71" s="11" t="str">
        <f t="shared" si="2"/>
        <v/>
      </c>
      <c r="I71" s="7"/>
    </row>
    <row r="72" ht="15.75" customHeight="1">
      <c r="A72" s="7"/>
      <c r="B72" s="7"/>
      <c r="C72" s="7"/>
      <c r="D72" s="8"/>
      <c r="E72" s="7"/>
      <c r="F72" s="11"/>
      <c r="G72" s="13"/>
      <c r="H72" s="11" t="str">
        <f t="shared" si="2"/>
        <v/>
      </c>
      <c r="I72" s="7"/>
    </row>
    <row r="73" ht="15.75" customHeight="1">
      <c r="A73" s="7"/>
      <c r="B73" s="7"/>
      <c r="C73" s="7"/>
      <c r="D73" s="8"/>
      <c r="E73" s="7"/>
      <c r="F73" s="11"/>
      <c r="G73" s="13"/>
      <c r="H73" s="11" t="str">
        <f t="shared" si="2"/>
        <v/>
      </c>
      <c r="I73" s="7"/>
    </row>
    <row r="74" ht="15.75" customHeight="1">
      <c r="A74" s="7"/>
      <c r="B74" s="7"/>
      <c r="C74" s="7"/>
      <c r="D74" s="8"/>
      <c r="E74" s="7"/>
      <c r="F74" s="11"/>
      <c r="G74" s="13"/>
      <c r="H74" s="11" t="str">
        <f t="shared" si="2"/>
        <v/>
      </c>
      <c r="I74" s="7"/>
    </row>
    <row r="75" ht="15.75" customHeight="1">
      <c r="A75" s="7"/>
      <c r="B75" s="7"/>
      <c r="C75" s="7"/>
      <c r="D75" s="8"/>
      <c r="E75" s="7"/>
      <c r="F75" s="11"/>
      <c r="G75" s="13"/>
      <c r="H75" s="11" t="str">
        <f t="shared" si="2"/>
        <v/>
      </c>
      <c r="I75" s="7"/>
    </row>
    <row r="76" ht="15.75" customHeight="1">
      <c r="A76" s="7"/>
      <c r="B76" s="7"/>
      <c r="C76" s="7"/>
      <c r="D76" s="8"/>
      <c r="E76" s="7"/>
      <c r="F76" s="11"/>
      <c r="G76" s="13"/>
      <c r="H76" s="11" t="str">
        <f t="shared" si="2"/>
        <v/>
      </c>
      <c r="I76" s="7"/>
    </row>
    <row r="77" ht="15.75" customHeight="1">
      <c r="A77" s="7"/>
      <c r="B77" s="7"/>
      <c r="C77" s="7"/>
      <c r="D77" s="8"/>
      <c r="E77" s="7"/>
      <c r="F77" s="11"/>
      <c r="G77" s="13"/>
      <c r="H77" s="11" t="str">
        <f t="shared" si="2"/>
        <v/>
      </c>
      <c r="I77" s="7"/>
    </row>
    <row r="78" ht="15.75" customHeight="1">
      <c r="A78" s="7"/>
      <c r="B78" s="7"/>
      <c r="C78" s="7"/>
      <c r="D78" s="8"/>
      <c r="E78" s="7"/>
      <c r="F78" s="11"/>
      <c r="G78" s="13"/>
      <c r="H78" s="11" t="str">
        <f t="shared" si="2"/>
        <v/>
      </c>
      <c r="I78" s="7"/>
    </row>
    <row r="79" ht="15.75" customHeight="1">
      <c r="A79" s="7"/>
      <c r="B79" s="7"/>
      <c r="C79" s="7"/>
      <c r="D79" s="8"/>
      <c r="E79" s="7"/>
      <c r="F79" s="11"/>
      <c r="G79" s="13"/>
      <c r="H79" s="11" t="str">
        <f t="shared" si="2"/>
        <v/>
      </c>
      <c r="I79" s="7"/>
    </row>
    <row r="80" ht="15.75" customHeight="1">
      <c r="A80" s="7"/>
      <c r="B80" s="7"/>
      <c r="C80" s="7"/>
      <c r="D80" s="8"/>
      <c r="E80" s="7"/>
      <c r="F80" s="11"/>
      <c r="G80" s="13"/>
      <c r="H80" s="11" t="str">
        <f t="shared" si="2"/>
        <v/>
      </c>
      <c r="I80" s="7"/>
    </row>
    <row r="81" ht="15.75" customHeight="1">
      <c r="A81" s="7"/>
      <c r="B81" s="7"/>
      <c r="C81" s="7"/>
      <c r="D81" s="8"/>
      <c r="E81" s="7"/>
      <c r="F81" s="11"/>
      <c r="G81" s="13"/>
      <c r="H81" s="11" t="str">
        <f t="shared" si="2"/>
        <v/>
      </c>
      <c r="I81" s="7"/>
    </row>
    <row r="82" ht="15.75" customHeight="1">
      <c r="A82" s="7"/>
      <c r="B82" s="7"/>
      <c r="C82" s="7"/>
      <c r="D82" s="8"/>
      <c r="E82" s="7"/>
      <c r="F82" s="11"/>
      <c r="G82" s="13"/>
      <c r="H82" s="11" t="str">
        <f t="shared" si="2"/>
        <v/>
      </c>
      <c r="I82" s="7"/>
    </row>
    <row r="83" ht="15.75" customHeight="1">
      <c r="A83" s="7"/>
      <c r="B83" s="7"/>
      <c r="C83" s="7"/>
      <c r="D83" s="8"/>
      <c r="E83" s="7"/>
      <c r="F83" s="11"/>
      <c r="G83" s="13"/>
      <c r="H83" s="11" t="str">
        <f t="shared" si="2"/>
        <v/>
      </c>
      <c r="I83" s="7"/>
    </row>
    <row r="84" ht="15.75" customHeight="1">
      <c r="A84" s="7"/>
      <c r="B84" s="7"/>
      <c r="C84" s="7"/>
      <c r="D84" s="8"/>
      <c r="E84" s="7"/>
      <c r="F84" s="11"/>
      <c r="G84" s="13"/>
      <c r="H84" s="11" t="str">
        <f t="shared" si="2"/>
        <v/>
      </c>
      <c r="I84" s="7"/>
    </row>
    <row r="85" ht="15.75" customHeight="1">
      <c r="A85" s="7"/>
      <c r="B85" s="7"/>
      <c r="C85" s="7"/>
      <c r="D85" s="8"/>
      <c r="E85" s="7"/>
      <c r="F85" s="11"/>
      <c r="G85" s="13"/>
      <c r="H85" s="11" t="str">
        <f t="shared" si="2"/>
        <v/>
      </c>
      <c r="I85" s="7"/>
    </row>
    <row r="86" ht="15.75" customHeight="1">
      <c r="A86" s="21"/>
      <c r="B86" s="21"/>
      <c r="C86" s="21"/>
      <c r="D86" s="22"/>
      <c r="E86" s="21"/>
      <c r="F86" s="23"/>
      <c r="G86" s="30"/>
      <c r="H86" s="23" t="str">
        <f t="shared" si="2"/>
        <v/>
      </c>
      <c r="I86" s="21"/>
    </row>
    <row r="87" ht="15.75" customHeight="1">
      <c r="A87" s="25"/>
      <c r="E87" s="25"/>
      <c r="H87" s="25" t="str">
        <f t="shared" si="2"/>
        <v/>
      </c>
    </row>
    <row r="88" ht="15.75" customHeight="1">
      <c r="A88" s="25"/>
      <c r="E88" s="25"/>
      <c r="H88" s="25" t="str">
        <f t="shared" si="2"/>
        <v/>
      </c>
    </row>
    <row r="89" ht="15.75" customHeight="1">
      <c r="A89" s="25"/>
      <c r="E89" s="25"/>
      <c r="H89" s="25" t="str">
        <f t="shared" si="2"/>
        <v/>
      </c>
    </row>
    <row r="90" ht="15.75" customHeight="1">
      <c r="A90" s="25"/>
      <c r="E90" s="25"/>
      <c r="H90" s="25" t="str">
        <f t="shared" si="2"/>
        <v/>
      </c>
    </row>
    <row r="91" ht="15.75" customHeight="1">
      <c r="A91" s="25"/>
      <c r="E91" s="25"/>
      <c r="H91" s="25" t="str">
        <f t="shared" si="2"/>
        <v/>
      </c>
    </row>
    <row r="92" ht="15.75" customHeight="1">
      <c r="A92" s="25"/>
      <c r="E92" s="25"/>
      <c r="H92" s="25" t="str">
        <f t="shared" si="2"/>
        <v/>
      </c>
    </row>
    <row r="93" ht="15.75" customHeight="1">
      <c r="A93" s="25"/>
      <c r="E93" s="25"/>
      <c r="H93" s="25" t="str">
        <f t="shared" si="2"/>
        <v/>
      </c>
    </row>
    <row r="94" ht="15.75" customHeight="1">
      <c r="A94" s="25"/>
      <c r="E94" s="25"/>
      <c r="H94" s="25" t="str">
        <f t="shared" si="2"/>
        <v/>
      </c>
    </row>
    <row r="95" ht="15.75" customHeight="1">
      <c r="A95" s="25"/>
      <c r="E95" s="25"/>
      <c r="H95" s="25" t="str">
        <f t="shared" si="2"/>
        <v/>
      </c>
    </row>
    <row r="96" ht="15.75" customHeight="1">
      <c r="A96" s="25"/>
      <c r="E96" s="25"/>
      <c r="H96" s="25" t="str">
        <f t="shared" si="2"/>
        <v/>
      </c>
    </row>
    <row r="97" ht="15.75" customHeight="1">
      <c r="A97" s="25"/>
      <c r="E97" s="25"/>
      <c r="H97" s="25" t="str">
        <f t="shared" si="2"/>
        <v/>
      </c>
    </row>
    <row r="98" ht="15.75" customHeight="1">
      <c r="A98" s="25"/>
      <c r="E98" s="25"/>
      <c r="H98" s="25" t="str">
        <f t="shared" si="2"/>
        <v/>
      </c>
    </row>
    <row r="99" ht="15.75" customHeight="1">
      <c r="A99" s="25"/>
      <c r="E99" s="25"/>
      <c r="H99" s="25" t="str">
        <f t="shared" si="2"/>
        <v/>
      </c>
    </row>
    <row r="100" ht="15.75" customHeight="1">
      <c r="A100" s="25"/>
      <c r="E100" s="25"/>
      <c r="H100" s="25" t="str">
        <f t="shared" si="2"/>
        <v/>
      </c>
    </row>
    <row r="101" ht="15.75" customHeight="1">
      <c r="A101" s="25"/>
      <c r="E101" s="25"/>
      <c r="H101" s="25" t="str">
        <f t="shared" si="2"/>
        <v/>
      </c>
    </row>
    <row r="102" ht="15.75" customHeight="1">
      <c r="A102" s="25"/>
      <c r="E102" s="25"/>
      <c r="H102" s="25" t="str">
        <f t="shared" si="2"/>
        <v/>
      </c>
    </row>
    <row r="103" ht="15.75" customHeight="1">
      <c r="A103" s="25"/>
      <c r="E103" s="25"/>
      <c r="H103" s="25" t="str">
        <f t="shared" si="2"/>
        <v/>
      </c>
    </row>
    <row r="104" ht="15.75" customHeight="1">
      <c r="A104" s="25"/>
      <c r="E104" s="25"/>
      <c r="H104" s="25" t="str">
        <f t="shared" si="2"/>
        <v/>
      </c>
    </row>
    <row r="105" ht="15.75" customHeight="1">
      <c r="A105" s="25"/>
      <c r="E105" s="25"/>
      <c r="H105" s="25" t="str">
        <f t="shared" si="2"/>
        <v/>
      </c>
    </row>
    <row r="106" ht="15.75" customHeight="1">
      <c r="A106" s="25"/>
      <c r="E106" s="25"/>
      <c r="H106" s="25" t="str">
        <f t="shared" si="2"/>
        <v/>
      </c>
    </row>
    <row r="107" ht="15.75" customHeight="1">
      <c r="A107" s="25"/>
      <c r="E107" s="25"/>
      <c r="H107" s="25" t="str">
        <f t="shared" si="2"/>
        <v/>
      </c>
    </row>
    <row r="108" ht="15.75" customHeight="1">
      <c r="A108" s="25"/>
      <c r="E108" s="25"/>
      <c r="H108" s="25" t="str">
        <f t="shared" si="2"/>
        <v/>
      </c>
    </row>
    <row r="109" ht="15.75" customHeight="1">
      <c r="A109" s="25"/>
      <c r="E109" s="25"/>
      <c r="H109" s="25" t="str">
        <f t="shared" si="2"/>
        <v/>
      </c>
    </row>
    <row r="110" ht="15.75" customHeight="1">
      <c r="A110" s="25"/>
      <c r="E110" s="25"/>
      <c r="H110" s="25" t="str">
        <f t="shared" si="2"/>
        <v/>
      </c>
    </row>
    <row r="111" ht="15.75" customHeight="1">
      <c r="A111" s="25"/>
      <c r="E111" s="25"/>
      <c r="H111" s="25" t="str">
        <f t="shared" si="2"/>
        <v/>
      </c>
    </row>
    <row r="112" ht="15.75" customHeight="1">
      <c r="A112" s="25"/>
      <c r="E112" s="25"/>
      <c r="H112" s="25" t="str">
        <f t="shared" si="2"/>
        <v/>
      </c>
    </row>
    <row r="113" ht="15.75" customHeight="1">
      <c r="A113" s="25"/>
      <c r="E113" s="25"/>
      <c r="H113" s="25" t="str">
        <f t="shared" si="2"/>
        <v/>
      </c>
    </row>
    <row r="114" ht="15.75" customHeight="1">
      <c r="A114" s="25"/>
      <c r="E114" s="25"/>
      <c r="H114" s="25" t="str">
        <f t="shared" si="2"/>
        <v/>
      </c>
    </row>
    <row r="115" ht="15.75" customHeight="1">
      <c r="A115" s="25"/>
      <c r="E115" s="25"/>
      <c r="H115" s="25" t="str">
        <f t="shared" si="2"/>
        <v/>
      </c>
    </row>
    <row r="116" ht="15.75" customHeight="1">
      <c r="A116" s="25"/>
      <c r="E116" s="25"/>
      <c r="H116" s="25" t="str">
        <f t="shared" si="2"/>
        <v/>
      </c>
    </row>
    <row r="117" ht="15.75" customHeight="1">
      <c r="A117" s="25"/>
      <c r="E117" s="25"/>
      <c r="H117" s="25" t="str">
        <f t="shared" si="2"/>
        <v/>
      </c>
    </row>
    <row r="118" ht="15.75" customHeight="1">
      <c r="A118" s="25"/>
      <c r="E118" s="25"/>
      <c r="H118" s="25" t="str">
        <f t="shared" si="2"/>
        <v/>
      </c>
    </row>
    <row r="119" ht="15.75" customHeight="1">
      <c r="A119" s="25"/>
      <c r="E119" s="25"/>
      <c r="H119" s="25" t="str">
        <f t="shared" si="2"/>
        <v/>
      </c>
    </row>
    <row r="120" ht="15.75" customHeight="1">
      <c r="A120" s="25"/>
      <c r="E120" s="25"/>
      <c r="H120" s="25" t="str">
        <f t="shared" si="2"/>
        <v/>
      </c>
    </row>
    <row r="121" ht="15.75" customHeight="1">
      <c r="A121" s="25"/>
      <c r="E121" s="25"/>
      <c r="H121" s="25" t="str">
        <f t="shared" si="2"/>
        <v/>
      </c>
    </row>
    <row r="122" ht="15.75" customHeight="1">
      <c r="A122" s="25"/>
      <c r="E122" s="25"/>
      <c r="H122" s="25" t="str">
        <f t="shared" si="2"/>
        <v/>
      </c>
    </row>
    <row r="123" ht="15.75" customHeight="1">
      <c r="A123" s="25"/>
      <c r="E123" s="25"/>
      <c r="H123" s="25" t="str">
        <f t="shared" si="2"/>
        <v/>
      </c>
    </row>
    <row r="124" ht="15.75" customHeight="1">
      <c r="A124" s="25"/>
      <c r="E124" s="25"/>
      <c r="H124" s="25" t="str">
        <f t="shared" si="2"/>
        <v/>
      </c>
    </row>
    <row r="125" ht="15.75" customHeight="1">
      <c r="A125" s="25"/>
      <c r="E125" s="25"/>
      <c r="H125" s="25" t="str">
        <f t="shared" si="2"/>
        <v/>
      </c>
    </row>
    <row r="126" ht="15.75" customHeight="1">
      <c r="A126" s="25"/>
      <c r="E126" s="25"/>
      <c r="H126" s="25" t="str">
        <f t="shared" si="2"/>
        <v/>
      </c>
    </row>
    <row r="127" ht="15.75" customHeight="1">
      <c r="A127" s="25"/>
      <c r="E127" s="25"/>
      <c r="H127" s="25" t="str">
        <f t="shared" si="2"/>
        <v/>
      </c>
    </row>
    <row r="128" ht="15.75" customHeight="1">
      <c r="A128" s="25"/>
      <c r="E128" s="25"/>
      <c r="H128" s="25" t="str">
        <f t="shared" si="2"/>
        <v/>
      </c>
    </row>
    <row r="129" ht="15.75" customHeight="1">
      <c r="A129" s="25"/>
      <c r="E129" s="25"/>
      <c r="H129" s="25" t="str">
        <f t="shared" si="2"/>
        <v/>
      </c>
    </row>
    <row r="130" ht="15.75" customHeight="1">
      <c r="A130" s="25"/>
      <c r="E130" s="25"/>
      <c r="H130" s="25" t="str">
        <f t="shared" si="2"/>
        <v/>
      </c>
    </row>
    <row r="131" ht="15.75" customHeight="1">
      <c r="A131" s="25"/>
      <c r="E131" s="25"/>
      <c r="H131" s="25" t="str">
        <f t="shared" si="2"/>
        <v/>
      </c>
    </row>
    <row r="132" ht="15.75" customHeight="1">
      <c r="A132" s="25"/>
      <c r="E132" s="25"/>
      <c r="H132" s="25" t="str">
        <f t="shared" si="2"/>
        <v/>
      </c>
    </row>
    <row r="133" ht="15.75" customHeight="1">
      <c r="A133" s="25"/>
      <c r="E133" s="25"/>
      <c r="H133" s="25" t="str">
        <f t="shared" si="2"/>
        <v/>
      </c>
    </row>
    <row r="134" ht="15.75" customHeight="1">
      <c r="A134" s="25"/>
      <c r="E134" s="25"/>
      <c r="H134" s="25" t="str">
        <f t="shared" si="2"/>
        <v/>
      </c>
    </row>
    <row r="135" ht="15.75" customHeight="1">
      <c r="A135" s="25"/>
      <c r="E135" s="25"/>
      <c r="H135" s="25" t="str">
        <f t="shared" si="2"/>
        <v/>
      </c>
    </row>
    <row r="136" ht="15.75" customHeight="1">
      <c r="A136" s="25"/>
      <c r="E136" s="25"/>
      <c r="H136" s="25" t="str">
        <f t="shared" si="2"/>
        <v/>
      </c>
    </row>
    <row r="137" ht="15.75" customHeight="1">
      <c r="A137" s="25"/>
      <c r="E137" s="25"/>
      <c r="H137" s="25" t="str">
        <f t="shared" si="2"/>
        <v/>
      </c>
    </row>
    <row r="138" ht="15.75" customHeight="1">
      <c r="A138" s="25"/>
      <c r="E138" s="25"/>
      <c r="H138" s="25" t="str">
        <f t="shared" si="2"/>
        <v/>
      </c>
    </row>
    <row r="139" ht="15.75" customHeight="1">
      <c r="A139" s="25"/>
      <c r="E139" s="25"/>
      <c r="H139" s="25" t="str">
        <f t="shared" si="2"/>
        <v/>
      </c>
    </row>
    <row r="140" ht="15.75" customHeight="1">
      <c r="A140" s="25"/>
      <c r="E140" s="25"/>
      <c r="H140" s="25" t="str">
        <f t="shared" si="2"/>
        <v/>
      </c>
    </row>
    <row r="141" ht="15.75" customHeight="1">
      <c r="A141" s="25"/>
      <c r="E141" s="25"/>
      <c r="H141" s="25" t="str">
        <f t="shared" si="2"/>
        <v/>
      </c>
    </row>
    <row r="142" ht="15.75" customHeight="1">
      <c r="A142" s="25"/>
      <c r="E142" s="25"/>
      <c r="H142" s="25" t="str">
        <f t="shared" si="2"/>
        <v/>
      </c>
    </row>
    <row r="143" ht="15.75" customHeight="1">
      <c r="A143" s="25"/>
      <c r="E143" s="25"/>
      <c r="H143" s="25" t="str">
        <f t="shared" si="2"/>
        <v/>
      </c>
    </row>
    <row r="144" ht="15.75" customHeight="1">
      <c r="A144" s="25"/>
      <c r="E144" s="25"/>
      <c r="H144" s="25" t="str">
        <f t="shared" si="2"/>
        <v/>
      </c>
    </row>
    <row r="145" ht="15.75" customHeight="1">
      <c r="A145" s="25"/>
      <c r="E145" s="25"/>
      <c r="H145" s="25" t="str">
        <f t="shared" si="2"/>
        <v/>
      </c>
    </row>
    <row r="146" ht="15.75" customHeight="1">
      <c r="A146" s="25"/>
      <c r="E146" s="25"/>
      <c r="H146" s="25" t="str">
        <f t="shared" si="2"/>
        <v/>
      </c>
    </row>
    <row r="147" ht="15.75" customHeight="1">
      <c r="A147" s="25"/>
      <c r="E147" s="25"/>
      <c r="H147" s="25" t="str">
        <f t="shared" si="2"/>
        <v/>
      </c>
    </row>
    <row r="148" ht="15.75" customHeight="1">
      <c r="A148" s="25"/>
      <c r="E148" s="25"/>
      <c r="H148" s="25" t="str">
        <f t="shared" si="2"/>
        <v/>
      </c>
    </row>
    <row r="149" ht="15.75" customHeight="1">
      <c r="A149" s="25"/>
      <c r="E149" s="25"/>
      <c r="H149" s="25" t="str">
        <f t="shared" si="2"/>
        <v/>
      </c>
    </row>
    <row r="150" ht="15.75" customHeight="1">
      <c r="A150" s="25"/>
      <c r="E150" s="25"/>
      <c r="H150" s="25" t="str">
        <f t="shared" si="2"/>
        <v/>
      </c>
    </row>
    <row r="151" ht="15.75" customHeight="1">
      <c r="A151" s="25"/>
      <c r="E151" s="25"/>
      <c r="H151" s="25" t="str">
        <f t="shared" si="2"/>
        <v/>
      </c>
    </row>
    <row r="152" ht="15.75" customHeight="1">
      <c r="A152" s="25"/>
      <c r="E152" s="25"/>
      <c r="H152" s="25" t="str">
        <f t="shared" si="2"/>
        <v/>
      </c>
    </row>
    <row r="153" ht="15.75" customHeight="1">
      <c r="A153" s="25"/>
      <c r="E153" s="25"/>
      <c r="H153" s="25" t="str">
        <f t="shared" si="2"/>
        <v/>
      </c>
    </row>
    <row r="154" ht="15.75" customHeight="1">
      <c r="A154" s="25"/>
      <c r="E154" s="25"/>
      <c r="H154" s="25" t="str">
        <f t="shared" si="2"/>
        <v/>
      </c>
    </row>
    <row r="155" ht="15.75" customHeight="1">
      <c r="A155" s="25"/>
      <c r="E155" s="25"/>
      <c r="H155" s="25" t="str">
        <f t="shared" si="2"/>
        <v/>
      </c>
    </row>
    <row r="156" ht="15.75" customHeight="1">
      <c r="A156" s="25"/>
      <c r="E156" s="25"/>
      <c r="H156" s="25" t="str">
        <f t="shared" si="2"/>
        <v/>
      </c>
    </row>
    <row r="157" ht="15.75" customHeight="1">
      <c r="A157" s="25"/>
      <c r="E157" s="25"/>
      <c r="H157" s="25" t="str">
        <f t="shared" si="2"/>
        <v/>
      </c>
    </row>
    <row r="158" ht="15.75" customHeight="1">
      <c r="A158" s="25"/>
      <c r="E158" s="25"/>
      <c r="H158" s="25" t="str">
        <f t="shared" si="2"/>
        <v/>
      </c>
    </row>
    <row r="159" ht="15.75" customHeight="1">
      <c r="A159" s="25"/>
      <c r="E159" s="25"/>
      <c r="H159" s="25" t="str">
        <f t="shared" si="2"/>
        <v/>
      </c>
    </row>
    <row r="160" ht="15.75" customHeight="1">
      <c r="A160" s="25"/>
      <c r="E160" s="25"/>
      <c r="H160" s="25" t="str">
        <f t="shared" si="2"/>
        <v/>
      </c>
    </row>
    <row r="161" ht="15.75" customHeight="1">
      <c r="A161" s="25"/>
      <c r="E161" s="25"/>
      <c r="H161" s="25" t="str">
        <f t="shared" si="2"/>
        <v/>
      </c>
    </row>
    <row r="162" ht="15.75" customHeight="1">
      <c r="A162" s="25"/>
      <c r="E162" s="25"/>
      <c r="H162" s="25" t="str">
        <f t="shared" si="2"/>
        <v/>
      </c>
    </row>
    <row r="163" ht="15.75" customHeight="1">
      <c r="A163" s="25"/>
      <c r="E163" s="25"/>
      <c r="H163" s="25" t="str">
        <f t="shared" si="2"/>
        <v/>
      </c>
    </row>
    <row r="164" ht="15.75" customHeight="1">
      <c r="A164" s="25"/>
      <c r="E164" s="25"/>
      <c r="H164" s="25" t="str">
        <f t="shared" si="2"/>
        <v/>
      </c>
    </row>
    <row r="165" ht="15.75" customHeight="1">
      <c r="A165" s="25"/>
      <c r="E165" s="25"/>
      <c r="H165" s="25" t="str">
        <f t="shared" si="2"/>
        <v/>
      </c>
    </row>
    <row r="166" ht="15.75" customHeight="1">
      <c r="A166" s="25"/>
      <c r="E166" s="25"/>
      <c r="H166" s="25" t="str">
        <f t="shared" si="2"/>
        <v/>
      </c>
    </row>
    <row r="167" ht="15.75" customHeight="1">
      <c r="A167" s="25"/>
      <c r="E167" s="25"/>
      <c r="H167" s="25" t="str">
        <f t="shared" si="2"/>
        <v/>
      </c>
    </row>
    <row r="168" ht="15.75" customHeight="1">
      <c r="A168" s="25"/>
      <c r="E168" s="25"/>
      <c r="H168" s="25" t="str">
        <f t="shared" si="2"/>
        <v/>
      </c>
    </row>
    <row r="169" ht="15.75" customHeight="1">
      <c r="A169" s="25"/>
      <c r="E169" s="25"/>
      <c r="H169" s="25" t="str">
        <f t="shared" si="2"/>
        <v/>
      </c>
    </row>
    <row r="170" ht="15.75" customHeight="1">
      <c r="A170" s="25"/>
      <c r="E170" s="25"/>
      <c r="H170" s="25" t="str">
        <f t="shared" si="2"/>
        <v/>
      </c>
    </row>
    <row r="171" ht="15.75" customHeight="1">
      <c r="A171" s="25"/>
      <c r="E171" s="25"/>
      <c r="H171" s="25" t="str">
        <f t="shared" si="2"/>
        <v/>
      </c>
    </row>
    <row r="172" ht="15.75" customHeight="1">
      <c r="A172" s="25"/>
      <c r="E172" s="25"/>
      <c r="H172" s="25" t="str">
        <f t="shared" si="2"/>
        <v/>
      </c>
    </row>
    <row r="173" ht="15.75" customHeight="1">
      <c r="A173" s="25"/>
      <c r="E173" s="25"/>
      <c r="H173" s="25" t="str">
        <f t="shared" si="2"/>
        <v/>
      </c>
    </row>
    <row r="174" ht="15.75" customHeight="1">
      <c r="A174" s="25"/>
      <c r="E174" s="25"/>
      <c r="H174" s="25" t="str">
        <f t="shared" si="2"/>
        <v/>
      </c>
    </row>
    <row r="175" ht="15.75" customHeight="1">
      <c r="A175" s="25"/>
      <c r="E175" s="25"/>
      <c r="H175" s="25" t="str">
        <f t="shared" si="2"/>
        <v/>
      </c>
    </row>
    <row r="176" ht="15.75" customHeight="1">
      <c r="A176" s="25"/>
      <c r="E176" s="25"/>
      <c r="H176" s="25" t="str">
        <f t="shared" si="2"/>
        <v/>
      </c>
    </row>
    <row r="177" ht="15.75" customHeight="1">
      <c r="A177" s="25"/>
      <c r="E177" s="25"/>
      <c r="H177" s="25" t="str">
        <f t="shared" si="2"/>
        <v/>
      </c>
    </row>
    <row r="178" ht="15.75" customHeight="1">
      <c r="A178" s="25"/>
      <c r="E178" s="25"/>
      <c r="H178" s="25" t="str">
        <f t="shared" si="2"/>
        <v/>
      </c>
    </row>
    <row r="179" ht="15.75" customHeight="1">
      <c r="A179" s="25"/>
      <c r="E179" s="25"/>
      <c r="H179" s="25" t="str">
        <f t="shared" si="2"/>
        <v/>
      </c>
    </row>
    <row r="180" ht="15.75" customHeight="1">
      <c r="A180" s="25"/>
      <c r="E180" s="25"/>
      <c r="H180" s="25" t="str">
        <f t="shared" si="2"/>
        <v/>
      </c>
    </row>
    <row r="181" ht="15.75" customHeight="1">
      <c r="A181" s="25"/>
      <c r="E181" s="25"/>
      <c r="H181" s="25" t="str">
        <f t="shared" si="2"/>
        <v/>
      </c>
    </row>
    <row r="182" ht="15.75" customHeight="1">
      <c r="A182" s="25"/>
      <c r="E182" s="25"/>
      <c r="H182" s="25" t="str">
        <f t="shared" si="2"/>
        <v/>
      </c>
    </row>
    <row r="183" ht="15.75" customHeight="1">
      <c r="A183" s="25"/>
      <c r="E183" s="25"/>
      <c r="H183" s="25" t="str">
        <f t="shared" si="2"/>
        <v/>
      </c>
    </row>
    <row r="184" ht="15.75" customHeight="1">
      <c r="A184" s="25"/>
      <c r="E184" s="25"/>
      <c r="H184" s="25" t="str">
        <f t="shared" si="2"/>
        <v/>
      </c>
    </row>
    <row r="185" ht="15.75" customHeight="1">
      <c r="A185" s="25"/>
      <c r="E185" s="25"/>
      <c r="H185" s="25" t="str">
        <f t="shared" si="2"/>
        <v/>
      </c>
    </row>
    <row r="186" ht="15.75" customHeight="1">
      <c r="A186" s="25"/>
      <c r="E186" s="25"/>
      <c r="H186" s="25" t="str">
        <f t="shared" si="2"/>
        <v/>
      </c>
    </row>
    <row r="187" ht="15.75" customHeight="1">
      <c r="A187" s="25"/>
      <c r="E187" s="25"/>
      <c r="H187" s="25" t="str">
        <f t="shared" si="2"/>
        <v/>
      </c>
    </row>
    <row r="188" ht="15.75" customHeight="1">
      <c r="A188" s="25"/>
      <c r="E188" s="25"/>
      <c r="H188" s="25" t="str">
        <f t="shared" si="2"/>
        <v/>
      </c>
    </row>
    <row r="189" ht="15.75" customHeight="1">
      <c r="A189" s="25"/>
      <c r="E189" s="25"/>
      <c r="H189" s="25" t="str">
        <f t="shared" si="2"/>
        <v/>
      </c>
    </row>
    <row r="190" ht="15.75" customHeight="1">
      <c r="A190" s="25"/>
      <c r="E190" s="25"/>
      <c r="H190" s="25" t="str">
        <f t="shared" si="2"/>
        <v/>
      </c>
    </row>
    <row r="191" ht="15.75" customHeight="1">
      <c r="A191" s="25"/>
      <c r="E191" s="25"/>
      <c r="H191" s="25" t="str">
        <f t="shared" si="2"/>
        <v/>
      </c>
    </row>
    <row r="192" ht="15.75" customHeight="1">
      <c r="A192" s="25"/>
      <c r="E192" s="25"/>
      <c r="H192" s="25" t="str">
        <f t="shared" si="2"/>
        <v/>
      </c>
    </row>
    <row r="193" ht="15.75" customHeight="1">
      <c r="A193" s="25"/>
      <c r="E193" s="25"/>
      <c r="H193" s="25" t="str">
        <f t="shared" si="2"/>
        <v/>
      </c>
    </row>
    <row r="194" ht="15.75" customHeight="1">
      <c r="A194" s="25"/>
      <c r="E194" s="25"/>
      <c r="H194" s="25" t="str">
        <f t="shared" si="2"/>
        <v/>
      </c>
    </row>
    <row r="195" ht="15.75" customHeight="1">
      <c r="A195" s="25"/>
      <c r="E195" s="25"/>
      <c r="H195" s="25" t="str">
        <f t="shared" si="2"/>
        <v/>
      </c>
    </row>
    <row r="196" ht="15.75" customHeight="1">
      <c r="A196" s="25"/>
      <c r="E196" s="25"/>
      <c r="H196" s="25" t="str">
        <f t="shared" si="2"/>
        <v/>
      </c>
    </row>
    <row r="197" ht="15.75" customHeight="1">
      <c r="A197" s="25"/>
      <c r="E197" s="25"/>
      <c r="H197" s="25" t="str">
        <f t="shared" si="2"/>
        <v/>
      </c>
    </row>
    <row r="198" ht="15.75" customHeight="1">
      <c r="A198" s="25"/>
      <c r="E198" s="25"/>
      <c r="H198" s="25" t="str">
        <f t="shared" si="2"/>
        <v/>
      </c>
    </row>
    <row r="199" ht="15.75" customHeight="1">
      <c r="A199" s="25"/>
      <c r="E199" s="25"/>
      <c r="H199" s="25" t="str">
        <f t="shared" si="2"/>
        <v/>
      </c>
    </row>
    <row r="200" ht="15.75" customHeight="1">
      <c r="A200" s="25"/>
      <c r="E200" s="25"/>
      <c r="H200" s="25" t="str">
        <f t="shared" si="2"/>
        <v/>
      </c>
    </row>
    <row r="201" ht="15.75" customHeight="1">
      <c r="A201" s="25"/>
      <c r="E201" s="25"/>
      <c r="H201" s="25" t="str">
        <f t="shared" si="2"/>
        <v/>
      </c>
    </row>
    <row r="202" ht="15.75" customHeight="1">
      <c r="A202" s="25"/>
      <c r="E202" s="25"/>
      <c r="H202" s="25" t="str">
        <f t="shared" si="2"/>
        <v/>
      </c>
    </row>
    <row r="203" ht="15.75" customHeight="1">
      <c r="A203" s="25"/>
      <c r="E203" s="25"/>
      <c r="H203" s="25" t="str">
        <f t="shared" si="2"/>
        <v/>
      </c>
    </row>
    <row r="204" ht="15.75" customHeight="1">
      <c r="A204" s="25"/>
      <c r="E204" s="25"/>
      <c r="H204" s="25" t="str">
        <f t="shared" si="2"/>
        <v/>
      </c>
    </row>
    <row r="205" ht="15.75" customHeight="1">
      <c r="A205" s="25"/>
      <c r="E205" s="25"/>
      <c r="H205" s="25" t="str">
        <f t="shared" si="2"/>
        <v/>
      </c>
    </row>
    <row r="206" ht="15.75" customHeight="1">
      <c r="A206" s="25"/>
      <c r="E206" s="25"/>
      <c r="H206" s="25" t="str">
        <f t="shared" si="2"/>
        <v/>
      </c>
    </row>
    <row r="207" ht="15.75" customHeight="1">
      <c r="A207" s="25"/>
      <c r="E207" s="25"/>
      <c r="H207" s="25" t="str">
        <f t="shared" si="2"/>
        <v/>
      </c>
    </row>
    <row r="208" ht="15.75" customHeight="1">
      <c r="A208" s="25"/>
      <c r="E208" s="25"/>
      <c r="H208" s="25" t="str">
        <f t="shared" si="2"/>
        <v/>
      </c>
    </row>
    <row r="209" ht="15.75" customHeight="1">
      <c r="A209" s="25"/>
      <c r="E209" s="25"/>
      <c r="H209" s="25" t="str">
        <f t="shared" si="2"/>
        <v/>
      </c>
    </row>
    <row r="210" ht="15.75" customHeight="1">
      <c r="A210" s="25"/>
      <c r="E210" s="25"/>
      <c r="H210" s="25" t="str">
        <f t="shared" si="2"/>
        <v/>
      </c>
    </row>
    <row r="211" ht="15.75" customHeight="1">
      <c r="A211" s="25"/>
      <c r="E211" s="25"/>
      <c r="H211" s="25" t="str">
        <f t="shared" si="2"/>
        <v/>
      </c>
    </row>
    <row r="212" ht="15.75" customHeight="1">
      <c r="A212" s="25"/>
      <c r="E212" s="25"/>
      <c r="H212" s="25" t="str">
        <f t="shared" si="2"/>
        <v/>
      </c>
    </row>
    <row r="213" ht="15.75" customHeight="1">
      <c r="A213" s="25"/>
      <c r="E213" s="25"/>
      <c r="H213" s="25" t="str">
        <f t="shared" si="2"/>
        <v/>
      </c>
    </row>
    <row r="214" ht="15.75" customHeight="1">
      <c r="A214" s="25"/>
      <c r="E214" s="25"/>
      <c r="H214" s="25" t="str">
        <f t="shared" si="2"/>
        <v/>
      </c>
    </row>
    <row r="215" ht="15.75" customHeight="1">
      <c r="A215" s="25"/>
      <c r="E215" s="25"/>
      <c r="H215" s="25" t="str">
        <f t="shared" si="2"/>
        <v/>
      </c>
    </row>
    <row r="216" ht="15.75" customHeight="1">
      <c r="A216" s="25"/>
      <c r="E216" s="25"/>
      <c r="H216" s="25" t="str">
        <f t="shared" si="2"/>
        <v/>
      </c>
    </row>
    <row r="217" ht="15.75" customHeight="1">
      <c r="A217" s="25"/>
      <c r="E217" s="25"/>
      <c r="H217" s="25" t="str">
        <f t="shared" si="2"/>
        <v/>
      </c>
    </row>
    <row r="218" ht="15.75" customHeight="1">
      <c r="A218" s="25"/>
      <c r="E218" s="25"/>
      <c r="H218" s="25" t="str">
        <f t="shared" si="2"/>
        <v/>
      </c>
    </row>
    <row r="219" ht="15.75" customHeight="1">
      <c r="A219" s="25"/>
      <c r="E219" s="25"/>
      <c r="H219" s="25" t="str">
        <f t="shared" si="2"/>
        <v/>
      </c>
    </row>
    <row r="220" ht="15.75" customHeight="1">
      <c r="A220" s="25"/>
      <c r="E220" s="25"/>
      <c r="H220" s="25" t="str">
        <f t="shared" si="2"/>
        <v/>
      </c>
    </row>
    <row r="221" ht="15.75" customHeight="1">
      <c r="A221" s="25"/>
      <c r="E221" s="25"/>
      <c r="H221" s="25" t="str">
        <f t="shared" si="2"/>
        <v/>
      </c>
    </row>
    <row r="222" ht="15.75" customHeight="1">
      <c r="A222" s="25"/>
      <c r="E222" s="25"/>
      <c r="H222" s="25" t="str">
        <f t="shared" si="2"/>
        <v/>
      </c>
    </row>
    <row r="223" ht="15.75" customHeight="1">
      <c r="A223" s="25"/>
      <c r="E223" s="25"/>
      <c r="H223" s="25" t="str">
        <f t="shared" si="2"/>
        <v/>
      </c>
    </row>
    <row r="224" ht="15.75" customHeight="1">
      <c r="A224" s="25"/>
      <c r="E224" s="25"/>
      <c r="H224" s="25" t="str">
        <f t="shared" si="2"/>
        <v/>
      </c>
    </row>
    <row r="225" ht="15.75" customHeight="1">
      <c r="A225" s="25"/>
      <c r="E225" s="25"/>
      <c r="H225" s="25" t="str">
        <f t="shared" si="2"/>
        <v/>
      </c>
    </row>
    <row r="226" ht="15.75" customHeight="1">
      <c r="A226" s="25"/>
      <c r="E226" s="25"/>
      <c r="H226" s="25" t="str">
        <f t="shared" si="2"/>
        <v/>
      </c>
    </row>
    <row r="227" ht="15.75" customHeight="1">
      <c r="A227" s="25"/>
      <c r="E227" s="25"/>
      <c r="H227" s="25" t="str">
        <f t="shared" si="2"/>
        <v/>
      </c>
    </row>
    <row r="228" ht="15.75" customHeight="1">
      <c r="A228" s="25"/>
      <c r="E228" s="25"/>
      <c r="H228" s="25" t="str">
        <f t="shared" si="2"/>
        <v/>
      </c>
    </row>
    <row r="229" ht="15.75" customHeight="1">
      <c r="A229" s="25"/>
      <c r="E229" s="25"/>
      <c r="H229" s="25" t="str">
        <f t="shared" si="2"/>
        <v/>
      </c>
    </row>
    <row r="230" ht="15.75" customHeight="1">
      <c r="A230" s="25"/>
      <c r="E230" s="25"/>
      <c r="H230" s="25" t="str">
        <f t="shared" si="2"/>
        <v/>
      </c>
    </row>
    <row r="231" ht="15.75" customHeight="1">
      <c r="A231" s="25"/>
      <c r="E231" s="25"/>
      <c r="H231" s="25" t="str">
        <f t="shared" si="2"/>
        <v/>
      </c>
    </row>
    <row r="232" ht="15.75" customHeight="1">
      <c r="A232" s="25"/>
      <c r="E232" s="25"/>
      <c r="H232" s="25" t="str">
        <f t="shared" si="2"/>
        <v/>
      </c>
    </row>
    <row r="233" ht="15.75" customHeight="1">
      <c r="A233" s="25"/>
      <c r="E233" s="25"/>
      <c r="H233" s="25" t="str">
        <f t="shared" si="2"/>
        <v/>
      </c>
    </row>
    <row r="234" ht="15.75" customHeight="1">
      <c r="A234" s="25"/>
      <c r="E234" s="25"/>
      <c r="H234" s="25" t="str">
        <f t="shared" si="2"/>
        <v/>
      </c>
    </row>
    <row r="235" ht="15.75" customHeight="1">
      <c r="A235" s="25"/>
      <c r="E235" s="25"/>
      <c r="H235" s="25" t="str">
        <f t="shared" si="2"/>
        <v/>
      </c>
    </row>
    <row r="236" ht="15.75" customHeight="1">
      <c r="A236" s="25"/>
      <c r="E236" s="25"/>
      <c r="H236" s="25" t="str">
        <f t="shared" si="2"/>
        <v/>
      </c>
    </row>
    <row r="237" ht="15.75" customHeight="1">
      <c r="A237" s="25"/>
      <c r="E237" s="25"/>
      <c r="H237" s="25" t="str">
        <f t="shared" si="2"/>
        <v/>
      </c>
    </row>
    <row r="238" ht="15.75" customHeight="1">
      <c r="A238" s="25"/>
      <c r="E238" s="25"/>
      <c r="H238" s="25" t="str">
        <f t="shared" si="2"/>
        <v/>
      </c>
    </row>
    <row r="239" ht="15.75" customHeight="1">
      <c r="A239" s="25"/>
      <c r="E239" s="25"/>
      <c r="H239" s="25" t="str">
        <f t="shared" si="2"/>
        <v/>
      </c>
    </row>
    <row r="240" ht="15.75" customHeight="1">
      <c r="A240" s="25"/>
      <c r="E240" s="25"/>
      <c r="H240" s="25" t="str">
        <f t="shared" si="2"/>
        <v/>
      </c>
    </row>
    <row r="241" ht="15.75" customHeight="1">
      <c r="A241" s="25"/>
      <c r="E241" s="25"/>
      <c r="H241" s="25" t="str">
        <f t="shared" si="2"/>
        <v/>
      </c>
    </row>
    <row r="242" ht="15.75" customHeight="1">
      <c r="A242" s="25"/>
      <c r="E242" s="25"/>
      <c r="H242" s="25" t="str">
        <f t="shared" si="2"/>
        <v/>
      </c>
    </row>
    <row r="243" ht="15.75" customHeight="1">
      <c r="A243" s="25"/>
      <c r="E243" s="25"/>
      <c r="H243" s="25" t="str">
        <f t="shared" si="2"/>
        <v/>
      </c>
    </row>
    <row r="244" ht="15.75" customHeight="1">
      <c r="A244" s="25"/>
      <c r="E244" s="25"/>
      <c r="H244" s="25" t="str">
        <f t="shared" si="2"/>
        <v/>
      </c>
    </row>
    <row r="245" ht="15.75" customHeight="1">
      <c r="A245" s="25"/>
      <c r="E245" s="25"/>
      <c r="H245" s="25" t="str">
        <f t="shared" si="2"/>
        <v/>
      </c>
    </row>
    <row r="246" ht="15.75" customHeight="1">
      <c r="A246" s="25"/>
      <c r="E246" s="25"/>
      <c r="H246" s="25" t="str">
        <f t="shared" si="2"/>
        <v/>
      </c>
    </row>
    <row r="247" ht="15.75" customHeight="1">
      <c r="A247" s="25"/>
      <c r="E247" s="25"/>
      <c r="H247" s="25" t="str">
        <f t="shared" si="2"/>
        <v/>
      </c>
    </row>
    <row r="248" ht="15.75" customHeight="1">
      <c r="A248" s="25"/>
      <c r="E248" s="25"/>
      <c r="H248" s="25" t="str">
        <f t="shared" si="2"/>
        <v/>
      </c>
    </row>
    <row r="249" ht="15.75" customHeight="1">
      <c r="A249" s="25"/>
      <c r="E249" s="25"/>
      <c r="H249" s="25" t="str">
        <f t="shared" si="2"/>
        <v/>
      </c>
    </row>
    <row r="250" ht="15.75" customHeight="1">
      <c r="A250" s="25"/>
      <c r="E250" s="25"/>
      <c r="H250" s="25" t="str">
        <f t="shared" si="2"/>
        <v/>
      </c>
    </row>
    <row r="251" ht="15.75" customHeight="1">
      <c r="A251" s="25"/>
      <c r="E251" s="25"/>
      <c r="H251" s="25" t="str">
        <f t="shared" si="2"/>
        <v/>
      </c>
    </row>
    <row r="252" ht="15.75" customHeight="1">
      <c r="A252" s="25"/>
      <c r="E252" s="25"/>
      <c r="H252" s="25" t="str">
        <f t="shared" si="2"/>
        <v/>
      </c>
    </row>
    <row r="253" ht="15.75" customHeight="1">
      <c r="A253" s="25"/>
      <c r="E253" s="25"/>
      <c r="H253" s="25" t="str">
        <f t="shared" si="2"/>
        <v/>
      </c>
    </row>
    <row r="254" ht="15.75" customHeight="1">
      <c r="A254" s="25"/>
      <c r="E254" s="25"/>
      <c r="H254" s="25" t="str">
        <f t="shared" si="2"/>
        <v/>
      </c>
    </row>
    <row r="255" ht="15.75" customHeight="1">
      <c r="A255" s="25"/>
      <c r="E255" s="25"/>
      <c r="H255" s="25" t="str">
        <f t="shared" si="2"/>
        <v/>
      </c>
    </row>
    <row r="256" ht="15.75" customHeight="1">
      <c r="A256" s="25"/>
      <c r="E256" s="25"/>
      <c r="H256" s="25" t="str">
        <f t="shared" si="2"/>
        <v/>
      </c>
    </row>
    <row r="257" ht="15.75" customHeight="1">
      <c r="A257" s="25"/>
      <c r="E257" s="25"/>
      <c r="H257" s="25" t="str">
        <f t="shared" si="2"/>
        <v/>
      </c>
    </row>
    <row r="258" ht="15.75" customHeight="1">
      <c r="A258" s="25"/>
      <c r="E258" s="25"/>
      <c r="H258" s="25" t="str">
        <f t="shared" si="2"/>
        <v/>
      </c>
    </row>
    <row r="259" ht="15.75" customHeight="1">
      <c r="A259" s="25"/>
      <c r="E259" s="25"/>
      <c r="H259" s="25" t="str">
        <f t="shared" si="2"/>
        <v/>
      </c>
    </row>
    <row r="260" ht="15.75" customHeight="1">
      <c r="A260" s="25"/>
      <c r="E260" s="25"/>
      <c r="H260" s="25" t="str">
        <f t="shared" si="2"/>
        <v/>
      </c>
    </row>
    <row r="261" ht="15.75" customHeight="1">
      <c r="A261" s="25"/>
      <c r="E261" s="25"/>
      <c r="H261" s="25" t="str">
        <f t="shared" si="2"/>
        <v/>
      </c>
    </row>
    <row r="262" ht="15.75" customHeight="1">
      <c r="A262" s="25"/>
      <c r="E262" s="25"/>
      <c r="H262" s="25" t="str">
        <f t="shared" si="2"/>
        <v/>
      </c>
    </row>
    <row r="263" ht="15.75" customHeight="1">
      <c r="A263" s="25"/>
      <c r="E263" s="25"/>
      <c r="H263" s="25" t="str">
        <f t="shared" si="2"/>
        <v/>
      </c>
    </row>
    <row r="264" ht="15.75" customHeight="1">
      <c r="A264" s="25"/>
      <c r="E264" s="25"/>
      <c r="H264" s="25" t="str">
        <f t="shared" si="2"/>
        <v/>
      </c>
    </row>
    <row r="265" ht="15.75" customHeight="1">
      <c r="A265" s="25"/>
      <c r="E265" s="25"/>
      <c r="H265" s="25" t="str">
        <f t="shared" si="2"/>
        <v/>
      </c>
    </row>
    <row r="266" ht="15.75" customHeight="1">
      <c r="A266" s="25"/>
      <c r="E266" s="25"/>
      <c r="H266" s="25" t="str">
        <f t="shared" si="2"/>
        <v/>
      </c>
    </row>
    <row r="267" ht="15.75" customHeight="1">
      <c r="A267" s="25"/>
      <c r="E267" s="25"/>
      <c r="H267" s="25" t="str">
        <f t="shared" si="2"/>
        <v/>
      </c>
    </row>
    <row r="268" ht="15.75" customHeight="1">
      <c r="A268" s="25"/>
      <c r="E268" s="25"/>
      <c r="H268" s="25" t="str">
        <f t="shared" si="2"/>
        <v/>
      </c>
    </row>
    <row r="269" ht="15.75" customHeight="1">
      <c r="A269" s="25"/>
      <c r="E269" s="25"/>
      <c r="H269" s="25" t="str">
        <f t="shared" si="2"/>
        <v/>
      </c>
    </row>
    <row r="270" ht="15.75" customHeight="1">
      <c r="A270" s="25"/>
      <c r="E270" s="25"/>
      <c r="H270" s="25" t="str">
        <f t="shared" si="2"/>
        <v/>
      </c>
    </row>
    <row r="271" ht="15.75" customHeight="1">
      <c r="A271" s="25"/>
      <c r="E271" s="25"/>
      <c r="H271" s="25" t="str">
        <f t="shared" si="2"/>
        <v/>
      </c>
    </row>
    <row r="272" ht="15.75" customHeight="1">
      <c r="A272" s="25"/>
      <c r="E272" s="25"/>
      <c r="H272" s="25" t="str">
        <f t="shared" si="2"/>
        <v/>
      </c>
    </row>
    <row r="273" ht="15.75" customHeight="1">
      <c r="A273" s="25"/>
      <c r="E273" s="25"/>
      <c r="H273" s="25" t="str">
        <f t="shared" si="2"/>
        <v/>
      </c>
    </row>
    <row r="274" ht="15.75" customHeight="1">
      <c r="A274" s="25"/>
      <c r="E274" s="25"/>
      <c r="H274" s="25" t="str">
        <f t="shared" si="2"/>
        <v/>
      </c>
    </row>
    <row r="275" ht="15.75" customHeight="1">
      <c r="A275" s="25"/>
      <c r="E275" s="25"/>
      <c r="H275" s="25" t="str">
        <f t="shared" si="2"/>
        <v/>
      </c>
    </row>
    <row r="276" ht="15.75" customHeight="1">
      <c r="A276" s="25"/>
      <c r="E276" s="25"/>
      <c r="H276" s="25" t="str">
        <f t="shared" si="2"/>
        <v/>
      </c>
    </row>
    <row r="277" ht="15.75" customHeight="1">
      <c r="A277" s="25"/>
      <c r="E277" s="25"/>
      <c r="H277" s="25" t="str">
        <f t="shared" si="2"/>
        <v/>
      </c>
    </row>
    <row r="278" ht="15.75" customHeight="1">
      <c r="A278" s="25"/>
      <c r="E278" s="25"/>
      <c r="H278" s="25" t="str">
        <f t="shared" si="2"/>
        <v/>
      </c>
    </row>
    <row r="279" ht="15.75" customHeight="1">
      <c r="A279" s="25"/>
      <c r="E279" s="25"/>
      <c r="H279" s="25" t="str">
        <f t="shared" si="2"/>
        <v/>
      </c>
    </row>
    <row r="280" ht="15.75" customHeight="1">
      <c r="A280" s="25"/>
      <c r="E280" s="25"/>
      <c r="H280" s="25" t="str">
        <f t="shared" si="2"/>
        <v/>
      </c>
    </row>
    <row r="281" ht="15.75" customHeight="1">
      <c r="A281" s="25"/>
      <c r="E281" s="25"/>
      <c r="H281" s="25" t="str">
        <f t="shared" si="2"/>
        <v/>
      </c>
    </row>
    <row r="282" ht="15.75" customHeight="1">
      <c r="A282" s="25"/>
      <c r="E282" s="25"/>
      <c r="H282" s="25" t="str">
        <f t="shared" si="2"/>
        <v/>
      </c>
    </row>
    <row r="283" ht="15.75" customHeight="1">
      <c r="A283" s="25"/>
      <c r="E283" s="25"/>
      <c r="H283" s="25" t="str">
        <f t="shared" si="2"/>
        <v/>
      </c>
    </row>
    <row r="284" ht="15.75" customHeight="1">
      <c r="A284" s="25"/>
      <c r="E284" s="25"/>
      <c r="H284" s="25" t="str">
        <f t="shared" si="2"/>
        <v/>
      </c>
    </row>
    <row r="285" ht="15.75" customHeight="1">
      <c r="A285" s="25"/>
      <c r="E285" s="25"/>
      <c r="H285" s="25" t="str">
        <f t="shared" si="2"/>
        <v/>
      </c>
    </row>
    <row r="286" ht="15.75" customHeight="1">
      <c r="A286" s="25"/>
      <c r="E286" s="25"/>
      <c r="H286" s="25" t="str">
        <f t="shared" si="2"/>
        <v/>
      </c>
    </row>
    <row r="287" ht="15.75" customHeight="1">
      <c r="A287" s="25"/>
      <c r="E287" s="25"/>
      <c r="H287" s="25" t="str">
        <f t="shared" si="2"/>
        <v/>
      </c>
    </row>
    <row r="288" ht="15.75" customHeight="1">
      <c r="A288" s="25"/>
      <c r="E288" s="25"/>
      <c r="H288" s="25" t="str">
        <f t="shared" si="2"/>
        <v/>
      </c>
    </row>
    <row r="289" ht="15.75" customHeight="1">
      <c r="A289" s="25"/>
      <c r="E289" s="25"/>
      <c r="H289" s="25" t="str">
        <f t="shared" si="2"/>
        <v/>
      </c>
    </row>
    <row r="290" ht="15.75" customHeight="1">
      <c r="A290" s="25"/>
      <c r="E290" s="25"/>
      <c r="H290" s="25" t="str">
        <f t="shared" si="2"/>
        <v/>
      </c>
    </row>
    <row r="291" ht="15.75" customHeight="1">
      <c r="A291" s="25"/>
      <c r="E291" s="25"/>
      <c r="H291" s="25" t="str">
        <f t="shared" si="2"/>
        <v/>
      </c>
    </row>
    <row r="292" ht="15.75" customHeight="1">
      <c r="A292" s="25"/>
      <c r="E292" s="25"/>
      <c r="H292" s="25" t="str">
        <f t="shared" si="2"/>
        <v/>
      </c>
    </row>
    <row r="293" ht="15.75" customHeight="1">
      <c r="A293" s="25"/>
      <c r="E293" s="25"/>
      <c r="H293" s="25" t="str">
        <f t="shared" si="2"/>
        <v/>
      </c>
    </row>
    <row r="294" ht="15.75" customHeight="1">
      <c r="A294" s="25"/>
      <c r="E294" s="25"/>
      <c r="H294" s="25" t="str">
        <f t="shared" si="2"/>
        <v/>
      </c>
    </row>
    <row r="295" ht="15.75" customHeight="1">
      <c r="A295" s="25"/>
      <c r="E295" s="25"/>
      <c r="H295" s="25" t="str">
        <f t="shared" si="2"/>
        <v/>
      </c>
    </row>
    <row r="296" ht="15.75" customHeight="1">
      <c r="A296" s="25"/>
      <c r="E296" s="25"/>
      <c r="H296" s="25" t="str">
        <f t="shared" si="2"/>
        <v/>
      </c>
    </row>
    <row r="297" ht="15.75" customHeight="1">
      <c r="A297" s="25"/>
      <c r="E297" s="25"/>
      <c r="H297" s="25" t="str">
        <f t="shared" si="2"/>
        <v/>
      </c>
    </row>
    <row r="298" ht="15.75" customHeight="1">
      <c r="A298" s="25"/>
      <c r="E298" s="25"/>
      <c r="H298" s="25" t="str">
        <f t="shared" si="2"/>
        <v/>
      </c>
    </row>
    <row r="299" ht="15.75" customHeight="1">
      <c r="A299" s="25"/>
      <c r="E299" s="25"/>
      <c r="H299" s="25" t="str">
        <f t="shared" si="2"/>
        <v/>
      </c>
    </row>
    <row r="300" ht="15.75" customHeight="1">
      <c r="A300" s="25"/>
      <c r="E300" s="25"/>
      <c r="H300" s="25" t="str">
        <f t="shared" si="2"/>
        <v/>
      </c>
    </row>
    <row r="301" ht="15.75" customHeight="1">
      <c r="A301" s="25"/>
      <c r="E301" s="25"/>
      <c r="H301" s="25" t="str">
        <f t="shared" si="2"/>
        <v/>
      </c>
    </row>
    <row r="302" ht="15.75" customHeight="1">
      <c r="A302" s="25"/>
      <c r="E302" s="25"/>
      <c r="H302" s="25" t="str">
        <f t="shared" si="2"/>
        <v/>
      </c>
    </row>
    <row r="303" ht="15.75" customHeight="1">
      <c r="A303" s="25"/>
      <c r="E303" s="25"/>
      <c r="H303" s="25" t="str">
        <f t="shared" si="2"/>
        <v/>
      </c>
    </row>
    <row r="304" ht="15.75" customHeight="1">
      <c r="A304" s="25"/>
      <c r="E304" s="25"/>
      <c r="H304" s="25" t="str">
        <f t="shared" si="2"/>
        <v/>
      </c>
    </row>
    <row r="305" ht="15.75" customHeight="1">
      <c r="A305" s="25"/>
      <c r="E305" s="25"/>
      <c r="H305" s="25" t="str">
        <f t="shared" si="2"/>
        <v/>
      </c>
    </row>
    <row r="306" ht="15.75" customHeight="1">
      <c r="A306" s="25"/>
      <c r="E306" s="25"/>
      <c r="H306" s="25" t="str">
        <f t="shared" si="2"/>
        <v/>
      </c>
    </row>
    <row r="307" ht="15.75" customHeight="1">
      <c r="A307" s="25"/>
      <c r="E307" s="25"/>
      <c r="H307" s="25" t="str">
        <f t="shared" si="2"/>
        <v/>
      </c>
    </row>
    <row r="308" ht="15.75" customHeight="1">
      <c r="A308" s="25"/>
      <c r="E308" s="25"/>
      <c r="H308" s="25" t="str">
        <f t="shared" si="2"/>
        <v/>
      </c>
    </row>
    <row r="309" ht="15.75" customHeight="1">
      <c r="A309" s="25"/>
      <c r="E309" s="25"/>
      <c r="H309" s="25" t="str">
        <f t="shared" si="2"/>
        <v/>
      </c>
    </row>
    <row r="310" ht="15.75" customHeight="1">
      <c r="A310" s="25"/>
      <c r="E310" s="25"/>
      <c r="H310" s="25" t="str">
        <f t="shared" si="2"/>
        <v/>
      </c>
    </row>
    <row r="311" ht="15.75" customHeight="1">
      <c r="A311" s="25"/>
      <c r="E311" s="25"/>
      <c r="H311" s="25" t="str">
        <f t="shared" si="2"/>
        <v/>
      </c>
    </row>
    <row r="312" ht="15.75" customHeight="1">
      <c r="A312" s="25"/>
      <c r="E312" s="25"/>
      <c r="H312" s="25" t="str">
        <f t="shared" si="2"/>
        <v/>
      </c>
    </row>
    <row r="313" ht="15.75" customHeight="1">
      <c r="A313" s="25"/>
      <c r="E313" s="25"/>
      <c r="H313" s="25" t="str">
        <f t="shared" si="2"/>
        <v/>
      </c>
    </row>
    <row r="314" ht="15.75" customHeight="1">
      <c r="A314" s="25"/>
      <c r="E314" s="25"/>
      <c r="H314" s="25" t="str">
        <f t="shared" si="2"/>
        <v/>
      </c>
    </row>
    <row r="315" ht="15.75" customHeight="1">
      <c r="A315" s="25"/>
      <c r="E315" s="25"/>
      <c r="H315" s="25" t="str">
        <f t="shared" si="2"/>
        <v/>
      </c>
    </row>
    <row r="316" ht="15.75" customHeight="1">
      <c r="A316" s="25"/>
      <c r="E316" s="25"/>
      <c r="H316" s="25" t="str">
        <f t="shared" si="2"/>
        <v/>
      </c>
    </row>
    <row r="317" ht="15.75" customHeight="1">
      <c r="A317" s="25"/>
      <c r="E317" s="25"/>
      <c r="H317" s="25" t="str">
        <f t="shared" si="2"/>
        <v/>
      </c>
    </row>
    <row r="318" ht="15.75" customHeight="1">
      <c r="A318" s="25"/>
      <c r="E318" s="25"/>
      <c r="H318" s="25" t="str">
        <f t="shared" si="2"/>
        <v/>
      </c>
    </row>
    <row r="319" ht="15.75" customHeight="1">
      <c r="A319" s="25"/>
      <c r="E319" s="25"/>
      <c r="H319" s="25" t="str">
        <f t="shared" si="2"/>
        <v/>
      </c>
    </row>
    <row r="320" ht="15.75" customHeight="1">
      <c r="A320" s="25"/>
      <c r="E320" s="25"/>
      <c r="H320" s="25" t="str">
        <f t="shared" si="2"/>
        <v/>
      </c>
    </row>
    <row r="321" ht="15.75" customHeight="1">
      <c r="A321" s="25"/>
      <c r="E321" s="25"/>
      <c r="H321" s="25" t="str">
        <f t="shared" si="2"/>
        <v/>
      </c>
    </row>
    <row r="322" ht="15.75" customHeight="1">
      <c r="A322" s="25"/>
      <c r="E322" s="25"/>
      <c r="H322" s="25" t="str">
        <f t="shared" si="2"/>
        <v/>
      </c>
    </row>
    <row r="323" ht="15.75" customHeight="1">
      <c r="A323" s="25"/>
      <c r="E323" s="25"/>
      <c r="H323" s="25" t="str">
        <f t="shared" si="2"/>
        <v/>
      </c>
    </row>
    <row r="324" ht="15.75" customHeight="1">
      <c r="A324" s="25"/>
      <c r="E324" s="25"/>
      <c r="H324" s="25" t="str">
        <f t="shared" si="2"/>
        <v/>
      </c>
    </row>
    <row r="325" ht="15.75" customHeight="1">
      <c r="A325" s="25"/>
      <c r="E325" s="25"/>
      <c r="H325" s="25" t="str">
        <f t="shared" si="2"/>
        <v/>
      </c>
    </row>
    <row r="326" ht="15.75" customHeight="1">
      <c r="A326" s="25"/>
      <c r="E326" s="25"/>
      <c r="H326" s="25" t="str">
        <f t="shared" si="2"/>
        <v/>
      </c>
    </row>
    <row r="327" ht="15.75" customHeight="1">
      <c r="A327" s="25"/>
      <c r="E327" s="25"/>
      <c r="H327" s="25" t="str">
        <f t="shared" si="2"/>
        <v/>
      </c>
    </row>
    <row r="328" ht="15.75" customHeight="1">
      <c r="A328" s="25"/>
      <c r="E328" s="25"/>
      <c r="H328" s="25" t="str">
        <f t="shared" si="2"/>
        <v/>
      </c>
    </row>
    <row r="329" ht="15.75" customHeight="1">
      <c r="A329" s="25"/>
      <c r="E329" s="25"/>
      <c r="H329" s="25" t="str">
        <f t="shared" si="2"/>
        <v/>
      </c>
    </row>
    <row r="330" ht="15.75" customHeight="1">
      <c r="A330" s="25"/>
      <c r="E330" s="25"/>
      <c r="H330" s="25" t="str">
        <f t="shared" si="2"/>
        <v/>
      </c>
    </row>
    <row r="331" ht="15.75" customHeight="1">
      <c r="A331" s="25"/>
      <c r="E331" s="25"/>
      <c r="H331" s="25" t="str">
        <f t="shared" si="2"/>
        <v/>
      </c>
    </row>
    <row r="332" ht="15.75" customHeight="1">
      <c r="A332" s="25"/>
      <c r="E332" s="25"/>
      <c r="H332" s="25" t="str">
        <f t="shared" si="2"/>
        <v/>
      </c>
    </row>
    <row r="333" ht="15.75" customHeight="1">
      <c r="A333" s="25"/>
      <c r="E333" s="25"/>
      <c r="H333" s="25" t="str">
        <f t="shared" si="2"/>
        <v/>
      </c>
    </row>
    <row r="334" ht="15.75" customHeight="1">
      <c r="A334" s="25"/>
      <c r="E334" s="25"/>
      <c r="H334" s="25" t="str">
        <f t="shared" si="2"/>
        <v/>
      </c>
    </row>
    <row r="335" ht="15.75" customHeight="1">
      <c r="A335" s="25"/>
      <c r="E335" s="25"/>
      <c r="H335" s="25" t="str">
        <f t="shared" si="2"/>
        <v/>
      </c>
    </row>
    <row r="336" ht="15.75" customHeight="1">
      <c r="A336" s="25"/>
      <c r="E336" s="25"/>
      <c r="H336" s="25" t="str">
        <f t="shared" si="2"/>
        <v/>
      </c>
    </row>
    <row r="337" ht="15.75" customHeight="1">
      <c r="A337" s="25"/>
      <c r="E337" s="25"/>
      <c r="H337" s="25" t="str">
        <f t="shared" si="2"/>
        <v/>
      </c>
    </row>
    <row r="338" ht="15.75" customHeight="1">
      <c r="A338" s="25"/>
      <c r="E338" s="25"/>
      <c r="H338" s="25" t="str">
        <f t="shared" si="2"/>
        <v/>
      </c>
    </row>
    <row r="339" ht="15.75" customHeight="1">
      <c r="A339" s="25"/>
      <c r="E339" s="25"/>
      <c r="H339" s="25" t="str">
        <f t="shared" si="2"/>
        <v/>
      </c>
    </row>
    <row r="340" ht="15.75" customHeight="1">
      <c r="A340" s="25"/>
      <c r="E340" s="25"/>
      <c r="H340" s="25" t="str">
        <f t="shared" si="2"/>
        <v/>
      </c>
    </row>
    <row r="341" ht="15.75" customHeight="1">
      <c r="A341" s="25"/>
      <c r="E341" s="25"/>
      <c r="H341" s="25" t="str">
        <f t="shared" si="2"/>
        <v/>
      </c>
    </row>
    <row r="342" ht="15.75" customHeight="1">
      <c r="A342" s="25"/>
      <c r="E342" s="25"/>
      <c r="H342" s="25" t="str">
        <f t="shared" si="2"/>
        <v/>
      </c>
    </row>
    <row r="343" ht="15.75" customHeight="1">
      <c r="A343" s="25"/>
      <c r="E343" s="25"/>
      <c r="H343" s="25" t="str">
        <f t="shared" si="2"/>
        <v/>
      </c>
    </row>
    <row r="344" ht="15.75" customHeight="1">
      <c r="A344" s="25"/>
      <c r="E344" s="25"/>
      <c r="H344" s="25" t="str">
        <f t="shared" si="2"/>
        <v/>
      </c>
    </row>
    <row r="345" ht="15.75" customHeight="1">
      <c r="A345" s="25"/>
      <c r="E345" s="25"/>
      <c r="H345" s="25" t="str">
        <f t="shared" si="2"/>
        <v/>
      </c>
    </row>
    <row r="346" ht="15.75" customHeight="1">
      <c r="A346" s="25"/>
      <c r="E346" s="25"/>
      <c r="H346" s="25" t="str">
        <f t="shared" si="2"/>
        <v/>
      </c>
    </row>
    <row r="347" ht="15.75" customHeight="1">
      <c r="A347" s="25"/>
      <c r="E347" s="25"/>
      <c r="H347" s="25" t="str">
        <f t="shared" si="2"/>
        <v/>
      </c>
    </row>
    <row r="348" ht="15.75" customHeight="1">
      <c r="A348" s="25"/>
      <c r="E348" s="25"/>
      <c r="H348" s="25" t="str">
        <f t="shared" si="2"/>
        <v/>
      </c>
    </row>
    <row r="349" ht="15.75" customHeight="1">
      <c r="A349" s="25"/>
      <c r="E349" s="25"/>
      <c r="H349" s="25" t="str">
        <f t="shared" si="2"/>
        <v/>
      </c>
    </row>
    <row r="350" ht="15.75" customHeight="1">
      <c r="A350" s="25"/>
      <c r="E350" s="25"/>
      <c r="H350" s="25" t="str">
        <f t="shared" si="2"/>
        <v/>
      </c>
    </row>
    <row r="351" ht="15.75" customHeight="1">
      <c r="A351" s="25"/>
      <c r="E351" s="25"/>
      <c r="H351" s="25" t="str">
        <f t="shared" si="2"/>
        <v/>
      </c>
    </row>
    <row r="352" ht="15.75" customHeight="1">
      <c r="A352" s="25"/>
      <c r="E352" s="25"/>
      <c r="H352" s="25" t="str">
        <f t="shared" si="2"/>
        <v/>
      </c>
    </row>
    <row r="353" ht="15.75" customHeight="1">
      <c r="A353" s="25"/>
      <c r="E353" s="25"/>
      <c r="H353" s="25" t="str">
        <f t="shared" si="2"/>
        <v/>
      </c>
    </row>
    <row r="354" ht="15.75" customHeight="1">
      <c r="A354" s="25"/>
      <c r="E354" s="25"/>
      <c r="H354" s="25" t="str">
        <f t="shared" si="2"/>
        <v/>
      </c>
    </row>
    <row r="355" ht="15.75" customHeight="1">
      <c r="A355" s="25"/>
      <c r="E355" s="25"/>
      <c r="H355" s="25" t="str">
        <f t="shared" si="2"/>
        <v/>
      </c>
    </row>
    <row r="356" ht="15.75" customHeight="1">
      <c r="A356" s="25"/>
      <c r="E356" s="25"/>
      <c r="H356" s="25" t="str">
        <f t="shared" si="2"/>
        <v/>
      </c>
    </row>
    <row r="357" ht="15.75" customHeight="1">
      <c r="A357" s="25"/>
      <c r="E357" s="25"/>
      <c r="H357" s="25" t="str">
        <f t="shared" si="2"/>
        <v/>
      </c>
    </row>
    <row r="358" ht="15.75" customHeight="1">
      <c r="A358" s="25"/>
      <c r="E358" s="25"/>
      <c r="H358" s="25" t="str">
        <f t="shared" si="2"/>
        <v/>
      </c>
    </row>
    <row r="359" ht="15.75" customHeight="1">
      <c r="A359" s="25"/>
      <c r="E359" s="25"/>
      <c r="H359" s="25" t="str">
        <f t="shared" si="2"/>
        <v/>
      </c>
    </row>
    <row r="360" ht="15.75" customHeight="1">
      <c r="A360" s="25"/>
      <c r="E360" s="25"/>
      <c r="H360" s="25" t="str">
        <f t="shared" si="2"/>
        <v/>
      </c>
    </row>
    <row r="361" ht="15.75" customHeight="1">
      <c r="A361" s="25"/>
      <c r="E361" s="25"/>
      <c r="H361" s="25" t="str">
        <f t="shared" si="2"/>
        <v/>
      </c>
    </row>
    <row r="362" ht="15.75" customHeight="1">
      <c r="A362" s="25"/>
      <c r="E362" s="25"/>
      <c r="H362" s="25" t="str">
        <f t="shared" si="2"/>
        <v/>
      </c>
    </row>
    <row r="363" ht="15.75" customHeight="1">
      <c r="A363" s="25"/>
      <c r="E363" s="25"/>
      <c r="H363" s="25" t="str">
        <f t="shared" si="2"/>
        <v/>
      </c>
    </row>
    <row r="364" ht="15.75" customHeight="1">
      <c r="A364" s="25"/>
      <c r="E364" s="25"/>
      <c r="H364" s="25" t="str">
        <f t="shared" si="2"/>
        <v/>
      </c>
    </row>
    <row r="365" ht="15.75" customHeight="1">
      <c r="A365" s="25"/>
      <c r="E365" s="25"/>
      <c r="H365" s="25" t="str">
        <f t="shared" si="2"/>
        <v/>
      </c>
    </row>
    <row r="366" ht="15.75" customHeight="1">
      <c r="A366" s="25"/>
      <c r="E366" s="25"/>
      <c r="H366" s="25" t="str">
        <f t="shared" si="2"/>
        <v/>
      </c>
    </row>
    <row r="367" ht="15.75" customHeight="1">
      <c r="A367" s="25"/>
      <c r="E367" s="25"/>
      <c r="H367" s="25" t="str">
        <f t="shared" si="2"/>
        <v/>
      </c>
    </row>
    <row r="368" ht="15.75" customHeight="1">
      <c r="A368" s="25"/>
      <c r="E368" s="25"/>
      <c r="H368" s="25" t="str">
        <f t="shared" si="2"/>
        <v/>
      </c>
    </row>
    <row r="369" ht="15.75" customHeight="1">
      <c r="A369" s="25"/>
      <c r="E369" s="25"/>
      <c r="H369" s="25" t="str">
        <f t="shared" si="2"/>
        <v/>
      </c>
    </row>
    <row r="370" ht="15.75" customHeight="1">
      <c r="A370" s="25"/>
      <c r="E370" s="25"/>
      <c r="H370" s="25" t="str">
        <f t="shared" si="2"/>
        <v/>
      </c>
    </row>
    <row r="371" ht="15.75" customHeight="1">
      <c r="A371" s="25"/>
      <c r="E371" s="25"/>
      <c r="H371" s="25" t="str">
        <f t="shared" si="2"/>
        <v/>
      </c>
    </row>
    <row r="372" ht="15.75" customHeight="1">
      <c r="A372" s="25"/>
      <c r="E372" s="25"/>
      <c r="H372" s="25" t="str">
        <f t="shared" si="2"/>
        <v/>
      </c>
    </row>
    <row r="373" ht="15.75" customHeight="1">
      <c r="A373" s="25"/>
      <c r="E373" s="25"/>
      <c r="H373" s="25" t="str">
        <f t="shared" si="2"/>
        <v/>
      </c>
    </row>
    <row r="374" ht="15.75" customHeight="1">
      <c r="A374" s="25"/>
      <c r="E374" s="25"/>
      <c r="H374" s="25" t="str">
        <f t="shared" si="2"/>
        <v/>
      </c>
    </row>
    <row r="375" ht="15.75" customHeight="1">
      <c r="A375" s="25"/>
      <c r="E375" s="25"/>
      <c r="H375" s="25" t="str">
        <f t="shared" si="2"/>
        <v/>
      </c>
    </row>
    <row r="376" ht="15.75" customHeight="1">
      <c r="A376" s="25"/>
      <c r="E376" s="25"/>
      <c r="H376" s="25" t="str">
        <f t="shared" si="2"/>
        <v/>
      </c>
    </row>
    <row r="377" ht="15.75" customHeight="1">
      <c r="A377" s="25"/>
      <c r="E377" s="25"/>
      <c r="H377" s="25" t="str">
        <f t="shared" si="2"/>
        <v/>
      </c>
    </row>
    <row r="378" ht="15.75" customHeight="1">
      <c r="A378" s="25"/>
      <c r="E378" s="25"/>
      <c r="H378" s="25" t="str">
        <f t="shared" si="2"/>
        <v/>
      </c>
    </row>
    <row r="379" ht="15.75" customHeight="1">
      <c r="A379" s="25"/>
      <c r="E379" s="25"/>
      <c r="H379" s="25" t="str">
        <f t="shared" si="2"/>
        <v/>
      </c>
    </row>
    <row r="380" ht="15.75" customHeight="1">
      <c r="A380" s="25"/>
      <c r="E380" s="25"/>
      <c r="H380" s="25" t="str">
        <f t="shared" si="2"/>
        <v/>
      </c>
    </row>
    <row r="381" ht="15.75" customHeight="1">
      <c r="A381" s="25"/>
      <c r="E381" s="25"/>
      <c r="H381" s="25" t="str">
        <f t="shared" si="2"/>
        <v/>
      </c>
    </row>
    <row r="382" ht="15.75" customHeight="1">
      <c r="A382" s="25"/>
      <c r="E382" s="25"/>
      <c r="H382" s="25" t="str">
        <f t="shared" si="2"/>
        <v/>
      </c>
    </row>
    <row r="383" ht="15.75" customHeight="1">
      <c r="A383" s="25"/>
      <c r="E383" s="25"/>
      <c r="H383" s="25" t="str">
        <f t="shared" si="2"/>
        <v/>
      </c>
    </row>
    <row r="384" ht="15.75" customHeight="1">
      <c r="A384" s="25"/>
      <c r="E384" s="25"/>
      <c r="H384" s="25" t="str">
        <f t="shared" si="2"/>
        <v/>
      </c>
    </row>
    <row r="385" ht="15.75" customHeight="1">
      <c r="A385" s="25"/>
      <c r="E385" s="25"/>
      <c r="H385" s="25" t="str">
        <f t="shared" si="2"/>
        <v/>
      </c>
    </row>
    <row r="386" ht="15.75" customHeight="1">
      <c r="A386" s="25"/>
      <c r="E386" s="25"/>
      <c r="H386" s="25" t="str">
        <f t="shared" si="2"/>
        <v/>
      </c>
    </row>
    <row r="387" ht="15.75" customHeight="1">
      <c r="A387" s="25"/>
      <c r="E387" s="25"/>
      <c r="H387" s="25" t="str">
        <f t="shared" si="2"/>
        <v/>
      </c>
    </row>
    <row r="388" ht="15.75" customHeight="1">
      <c r="A388" s="25"/>
      <c r="E388" s="25"/>
      <c r="H388" s="25" t="str">
        <f t="shared" si="2"/>
        <v/>
      </c>
    </row>
    <row r="389" ht="15.75" customHeight="1">
      <c r="A389" s="25"/>
      <c r="E389" s="25"/>
      <c r="H389" s="25" t="str">
        <f t="shared" si="2"/>
        <v/>
      </c>
    </row>
    <row r="390" ht="15.75" customHeight="1">
      <c r="A390" s="25"/>
      <c r="E390" s="25"/>
      <c r="H390" s="25" t="str">
        <f t="shared" si="2"/>
        <v/>
      </c>
    </row>
    <row r="391" ht="15.75" customHeight="1">
      <c r="A391" s="25"/>
      <c r="E391" s="25"/>
      <c r="H391" s="25" t="str">
        <f t="shared" si="2"/>
        <v/>
      </c>
    </row>
    <row r="392" ht="15.75" customHeight="1">
      <c r="A392" s="25"/>
      <c r="E392" s="25"/>
      <c r="H392" s="25" t="str">
        <f t="shared" si="2"/>
        <v/>
      </c>
    </row>
    <row r="393" ht="15.75" customHeight="1">
      <c r="A393" s="25"/>
      <c r="E393" s="25"/>
      <c r="H393" s="25" t="str">
        <f t="shared" si="2"/>
        <v/>
      </c>
    </row>
    <row r="394" ht="15.75" customHeight="1">
      <c r="A394" s="25"/>
      <c r="E394" s="25"/>
      <c r="H394" s="25" t="str">
        <f t="shared" si="2"/>
        <v/>
      </c>
    </row>
    <row r="395" ht="15.75" customHeight="1">
      <c r="A395" s="25"/>
      <c r="E395" s="25"/>
      <c r="H395" s="25" t="str">
        <f t="shared" si="2"/>
        <v/>
      </c>
    </row>
    <row r="396" ht="15.75" customHeight="1">
      <c r="A396" s="25"/>
      <c r="E396" s="25"/>
      <c r="H396" s="25" t="str">
        <f t="shared" si="2"/>
        <v/>
      </c>
    </row>
    <row r="397" ht="15.75" customHeight="1">
      <c r="A397" s="25"/>
      <c r="E397" s="25"/>
      <c r="H397" s="25" t="str">
        <f t="shared" si="2"/>
        <v/>
      </c>
    </row>
    <row r="398" ht="15.75" customHeight="1">
      <c r="A398" s="25"/>
      <c r="E398" s="25"/>
      <c r="H398" s="25" t="str">
        <f t="shared" si="2"/>
        <v/>
      </c>
    </row>
    <row r="399" ht="15.75" customHeight="1">
      <c r="A399" s="25"/>
      <c r="E399" s="25"/>
      <c r="H399" s="25" t="str">
        <f t="shared" si="2"/>
        <v/>
      </c>
    </row>
    <row r="400" ht="15.75" customHeight="1">
      <c r="A400" s="25"/>
      <c r="E400" s="25"/>
      <c r="H400" s="25" t="str">
        <f t="shared" si="2"/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400">
      <formula1>"General Conditions &amp; Project Management,Selective Demolition,Framing,Windows &amp; Exterior Openings,Plumbing &amp; Waste Pump System,Electrical,HVAC - 3 Zone Mini Split,Insulation &amp; Air Sealing,Drywall &amp; Finishing,Suspended Ceiling System,Interior Doors,Trim &amp; H"&amp;"ardware,Flooring,Painting,Master Bathroom,Kitchen,Cleanup &amp; Closeout"</formula1>
    </dataValidation>
    <dataValidation type="list" allowBlank="1" sqref="E2:E400">
      <formula1>"ea,lf,sf,sheet,lot,gal,bag,box,roll,set,pair,day,bucket,sq,tube,pack,pail,bundle,stick,board,allow"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34.0"/>
    <col customWidth="1" min="3" max="6" width="12.0"/>
    <col customWidth="1" min="7" max="7" width="34.0"/>
    <col customWidth="1" min="8" max="26" width="8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7" t="s">
        <v>21</v>
      </c>
      <c r="B2" s="7" t="s">
        <v>23</v>
      </c>
      <c r="C2" s="8">
        <v>1.0</v>
      </c>
      <c r="D2" s="7" t="s">
        <v>24</v>
      </c>
      <c r="E2" s="14">
        <v>250.0</v>
      </c>
      <c r="F2" s="11">
        <f t="shared" ref="F2:F24" si="1">IF(OR($A2="",$C2=""),"",$C2*$E2)</f>
        <v>250</v>
      </c>
      <c r="G2" s="7" t="s">
        <v>34</v>
      </c>
    </row>
    <row r="3">
      <c r="A3" s="7" t="s">
        <v>36</v>
      </c>
      <c r="B3" s="7" t="s">
        <v>37</v>
      </c>
      <c r="C3" s="8">
        <v>1.0</v>
      </c>
      <c r="D3" s="7" t="s">
        <v>39</v>
      </c>
      <c r="E3" s="11">
        <v>285.0</v>
      </c>
      <c r="F3" s="11">
        <f t="shared" si="1"/>
        <v>285</v>
      </c>
      <c r="G3" s="7" t="s">
        <v>43</v>
      </c>
    </row>
    <row r="4">
      <c r="A4" s="7" t="s">
        <v>18</v>
      </c>
      <c r="B4" s="7" t="s">
        <v>46</v>
      </c>
      <c r="C4" s="17">
        <v>0.0</v>
      </c>
      <c r="D4" s="7" t="s">
        <v>50</v>
      </c>
      <c r="E4" s="11">
        <v>145.0</v>
      </c>
      <c r="F4" s="11">
        <f t="shared" si="1"/>
        <v>0</v>
      </c>
      <c r="G4" s="7" t="s">
        <v>52</v>
      </c>
    </row>
    <row r="5">
      <c r="A5" s="7" t="s">
        <v>53</v>
      </c>
      <c r="B5" s="7" t="s">
        <v>53</v>
      </c>
      <c r="C5" s="8">
        <v>0.0</v>
      </c>
      <c r="D5" s="7" t="s">
        <v>24</v>
      </c>
      <c r="E5" s="11">
        <v>0.0</v>
      </c>
      <c r="F5" s="11">
        <f t="shared" si="1"/>
        <v>0</v>
      </c>
      <c r="G5" s="7"/>
    </row>
    <row r="6">
      <c r="A6" s="7" t="s">
        <v>53</v>
      </c>
      <c r="B6" s="7" t="s">
        <v>53</v>
      </c>
      <c r="C6" s="8">
        <v>0.0</v>
      </c>
      <c r="D6" s="7" t="s">
        <v>24</v>
      </c>
      <c r="E6" s="11">
        <v>0.0</v>
      </c>
      <c r="F6" s="11">
        <f t="shared" si="1"/>
        <v>0</v>
      </c>
      <c r="G6" s="7"/>
    </row>
    <row r="7">
      <c r="A7" s="7" t="s">
        <v>53</v>
      </c>
      <c r="B7" s="7" t="s">
        <v>53</v>
      </c>
      <c r="C7" s="8">
        <v>0.0</v>
      </c>
      <c r="D7" s="7" t="s">
        <v>24</v>
      </c>
      <c r="E7" s="11">
        <v>0.0</v>
      </c>
      <c r="F7" s="11">
        <f t="shared" si="1"/>
        <v>0</v>
      </c>
      <c r="G7" s="7"/>
    </row>
    <row r="8">
      <c r="A8" s="7" t="s">
        <v>53</v>
      </c>
      <c r="B8" s="7" t="s">
        <v>53</v>
      </c>
      <c r="C8" s="8">
        <v>0.0</v>
      </c>
      <c r="D8" s="7" t="s">
        <v>24</v>
      </c>
      <c r="E8" s="11">
        <v>0.0</v>
      </c>
      <c r="F8" s="11">
        <f t="shared" si="1"/>
        <v>0</v>
      </c>
      <c r="G8" s="7"/>
    </row>
    <row r="9">
      <c r="A9" s="7" t="s">
        <v>53</v>
      </c>
      <c r="B9" s="7" t="s">
        <v>53</v>
      </c>
      <c r="C9" s="8">
        <v>0.0</v>
      </c>
      <c r="D9" s="7" t="s">
        <v>24</v>
      </c>
      <c r="E9" s="11">
        <v>0.0</v>
      </c>
      <c r="F9" s="11">
        <f t="shared" si="1"/>
        <v>0</v>
      </c>
      <c r="G9" s="7"/>
    </row>
    <row r="10">
      <c r="A10" s="7" t="s">
        <v>53</v>
      </c>
      <c r="B10" s="7" t="s">
        <v>53</v>
      </c>
      <c r="C10" s="8">
        <v>0.0</v>
      </c>
      <c r="D10" s="7" t="s">
        <v>24</v>
      </c>
      <c r="E10" s="11">
        <v>0.0</v>
      </c>
      <c r="F10" s="11">
        <f t="shared" si="1"/>
        <v>0</v>
      </c>
      <c r="G10" s="7"/>
    </row>
    <row r="11">
      <c r="A11" s="21" t="s">
        <v>53</v>
      </c>
      <c r="B11" s="21" t="s">
        <v>53</v>
      </c>
      <c r="C11" s="22">
        <v>0.0</v>
      </c>
      <c r="D11" s="21" t="s">
        <v>24</v>
      </c>
      <c r="E11" s="23">
        <v>0.0</v>
      </c>
      <c r="F11" s="23">
        <f t="shared" si="1"/>
        <v>0</v>
      </c>
      <c r="G11" s="21"/>
    </row>
    <row r="12">
      <c r="A12" s="25" t="s">
        <v>53</v>
      </c>
      <c r="B12" s="25" t="s">
        <v>53</v>
      </c>
      <c r="C12" s="25">
        <v>0.0</v>
      </c>
      <c r="D12" s="25" t="s">
        <v>24</v>
      </c>
      <c r="E12" s="25">
        <v>0.0</v>
      </c>
      <c r="F12" s="25">
        <f t="shared" si="1"/>
        <v>0</v>
      </c>
    </row>
    <row r="13">
      <c r="A13" s="25" t="s">
        <v>53</v>
      </c>
      <c r="B13" s="25" t="s">
        <v>53</v>
      </c>
      <c r="C13" s="25">
        <v>0.0</v>
      </c>
      <c r="D13" s="25" t="s">
        <v>24</v>
      </c>
      <c r="E13" s="25">
        <v>0.0</v>
      </c>
      <c r="F13" s="25">
        <f t="shared" si="1"/>
        <v>0</v>
      </c>
    </row>
    <row r="14">
      <c r="A14" s="25" t="s">
        <v>53</v>
      </c>
      <c r="B14" s="25" t="s">
        <v>53</v>
      </c>
      <c r="C14" s="25">
        <v>0.0</v>
      </c>
      <c r="D14" s="25" t="s">
        <v>24</v>
      </c>
      <c r="E14" s="25">
        <v>0.0</v>
      </c>
      <c r="F14" s="25">
        <f t="shared" si="1"/>
        <v>0</v>
      </c>
    </row>
    <row r="15">
      <c r="A15" s="25" t="s">
        <v>53</v>
      </c>
      <c r="B15" s="25" t="s">
        <v>53</v>
      </c>
      <c r="C15" s="25">
        <v>0.0</v>
      </c>
      <c r="D15" s="25" t="s">
        <v>24</v>
      </c>
      <c r="E15" s="25">
        <v>0.0</v>
      </c>
      <c r="F15" s="25">
        <f t="shared" si="1"/>
        <v>0</v>
      </c>
    </row>
    <row r="16">
      <c r="A16" s="25" t="s">
        <v>53</v>
      </c>
      <c r="B16" s="25" t="s">
        <v>53</v>
      </c>
      <c r="C16" s="25">
        <v>0.0</v>
      </c>
      <c r="D16" s="25" t="s">
        <v>24</v>
      </c>
      <c r="E16" s="25">
        <v>0.0</v>
      </c>
      <c r="F16" s="25">
        <f t="shared" si="1"/>
        <v>0</v>
      </c>
    </row>
    <row r="17">
      <c r="A17" s="25" t="s">
        <v>53</v>
      </c>
      <c r="B17" s="25" t="s">
        <v>53</v>
      </c>
      <c r="C17" s="25">
        <v>0.0</v>
      </c>
      <c r="D17" s="25" t="s">
        <v>24</v>
      </c>
      <c r="E17" s="25">
        <v>0.0</v>
      </c>
      <c r="F17" s="25">
        <f t="shared" si="1"/>
        <v>0</v>
      </c>
    </row>
    <row r="18">
      <c r="A18" s="25" t="s">
        <v>53</v>
      </c>
      <c r="B18" s="25" t="s">
        <v>53</v>
      </c>
      <c r="C18" s="25">
        <v>0.0</v>
      </c>
      <c r="D18" s="25" t="s">
        <v>24</v>
      </c>
      <c r="E18" s="25">
        <v>0.0</v>
      </c>
      <c r="F18" s="25">
        <f t="shared" si="1"/>
        <v>0</v>
      </c>
    </row>
    <row r="19">
      <c r="A19" s="25" t="s">
        <v>53</v>
      </c>
      <c r="B19" s="25" t="s">
        <v>53</v>
      </c>
      <c r="C19" s="25">
        <v>0.0</v>
      </c>
      <c r="D19" s="25" t="s">
        <v>24</v>
      </c>
      <c r="E19" s="25">
        <v>0.0</v>
      </c>
      <c r="F19" s="25">
        <f t="shared" si="1"/>
        <v>0</v>
      </c>
    </row>
    <row r="20">
      <c r="A20" s="25" t="s">
        <v>53</v>
      </c>
      <c r="B20" s="25" t="s">
        <v>53</v>
      </c>
      <c r="C20" s="25">
        <v>0.0</v>
      </c>
      <c r="D20" s="25" t="s">
        <v>24</v>
      </c>
      <c r="E20" s="25">
        <v>0.0</v>
      </c>
      <c r="F20" s="25">
        <f t="shared" si="1"/>
        <v>0</v>
      </c>
    </row>
    <row r="21" ht="15.75" customHeight="1">
      <c r="A21" s="25" t="s">
        <v>53</v>
      </c>
      <c r="B21" s="25" t="s">
        <v>53</v>
      </c>
      <c r="C21" s="25">
        <v>0.0</v>
      </c>
      <c r="D21" s="25" t="s">
        <v>24</v>
      </c>
      <c r="E21" s="25">
        <v>0.0</v>
      </c>
      <c r="F21" s="25">
        <f t="shared" si="1"/>
        <v>0</v>
      </c>
    </row>
    <row r="22" ht="15.75" customHeight="1">
      <c r="A22" s="25" t="s">
        <v>53</v>
      </c>
      <c r="B22" s="25" t="s">
        <v>53</v>
      </c>
      <c r="C22" s="25">
        <v>0.0</v>
      </c>
      <c r="D22" s="25" t="s">
        <v>24</v>
      </c>
      <c r="E22" s="25">
        <v>0.0</v>
      </c>
      <c r="F22" s="25">
        <f t="shared" si="1"/>
        <v>0</v>
      </c>
    </row>
    <row r="23" ht="15.75" customHeight="1">
      <c r="A23" s="25" t="s">
        <v>53</v>
      </c>
      <c r="B23" s="25" t="s">
        <v>53</v>
      </c>
      <c r="C23" s="25">
        <v>0.0</v>
      </c>
      <c r="D23" s="25" t="s">
        <v>24</v>
      </c>
      <c r="E23" s="25">
        <v>0.0</v>
      </c>
      <c r="F23" s="25">
        <f t="shared" si="1"/>
        <v>0</v>
      </c>
    </row>
    <row r="24" ht="15.75" customHeight="1">
      <c r="A24" s="25" t="s">
        <v>53</v>
      </c>
      <c r="B24" s="25" t="s">
        <v>53</v>
      </c>
      <c r="C24" s="25">
        <v>0.0</v>
      </c>
      <c r="D24" s="25" t="s">
        <v>24</v>
      </c>
      <c r="E24" s="25">
        <v>0.0</v>
      </c>
      <c r="F24" s="25">
        <f t="shared" si="1"/>
        <v>0</v>
      </c>
    </row>
    <row r="25" ht="15.75" customHeight="1">
      <c r="A25" s="25"/>
      <c r="D25" s="25"/>
      <c r="F25" s="25" t="str">
        <f t="shared" ref="F25:F200" si="2">IF(OR($A25="",$C25="",$E25=""),"",$C25*$E25)</f>
        <v/>
      </c>
    </row>
    <row r="26" ht="15.75" customHeight="1">
      <c r="A26" s="25"/>
      <c r="D26" s="25"/>
      <c r="F26" s="25" t="str">
        <f t="shared" si="2"/>
        <v/>
      </c>
    </row>
    <row r="27" ht="15.75" customHeight="1">
      <c r="A27" s="25"/>
      <c r="D27" s="25"/>
      <c r="F27" s="25" t="str">
        <f t="shared" si="2"/>
        <v/>
      </c>
    </row>
    <row r="28" ht="15.75" customHeight="1">
      <c r="A28" s="25"/>
      <c r="D28" s="25"/>
      <c r="F28" s="25" t="str">
        <f t="shared" si="2"/>
        <v/>
      </c>
    </row>
    <row r="29" ht="15.75" customHeight="1">
      <c r="A29" s="25"/>
      <c r="D29" s="25"/>
      <c r="F29" s="25" t="str">
        <f t="shared" si="2"/>
        <v/>
      </c>
    </row>
    <row r="30" ht="15.75" customHeight="1">
      <c r="A30" s="25"/>
      <c r="D30" s="25"/>
      <c r="F30" s="25" t="str">
        <f t="shared" si="2"/>
        <v/>
      </c>
    </row>
    <row r="31" ht="15.75" customHeight="1">
      <c r="A31" s="25"/>
      <c r="D31" s="25"/>
      <c r="F31" s="25" t="str">
        <f t="shared" si="2"/>
        <v/>
      </c>
    </row>
    <row r="32" ht="15.75" customHeight="1">
      <c r="A32" s="25"/>
      <c r="D32" s="25"/>
      <c r="F32" s="25" t="str">
        <f t="shared" si="2"/>
        <v/>
      </c>
    </row>
    <row r="33" ht="15.75" customHeight="1">
      <c r="A33" s="25"/>
      <c r="D33" s="25"/>
      <c r="F33" s="25" t="str">
        <f t="shared" si="2"/>
        <v/>
      </c>
    </row>
    <row r="34" ht="15.75" customHeight="1">
      <c r="A34" s="25"/>
      <c r="D34" s="25"/>
      <c r="F34" s="25" t="str">
        <f t="shared" si="2"/>
        <v/>
      </c>
    </row>
    <row r="35" ht="15.75" customHeight="1">
      <c r="A35" s="25"/>
      <c r="D35" s="25"/>
      <c r="F35" s="25" t="str">
        <f t="shared" si="2"/>
        <v/>
      </c>
    </row>
    <row r="36" ht="15.75" customHeight="1">
      <c r="A36" s="25"/>
      <c r="D36" s="25"/>
      <c r="F36" s="25" t="str">
        <f t="shared" si="2"/>
        <v/>
      </c>
    </row>
    <row r="37" ht="15.75" customHeight="1">
      <c r="A37" s="25"/>
      <c r="D37" s="25"/>
      <c r="F37" s="25" t="str">
        <f t="shared" si="2"/>
        <v/>
      </c>
    </row>
    <row r="38" ht="15.75" customHeight="1">
      <c r="A38" s="25"/>
      <c r="D38" s="25"/>
      <c r="F38" s="25" t="str">
        <f t="shared" si="2"/>
        <v/>
      </c>
    </row>
    <row r="39" ht="15.75" customHeight="1">
      <c r="A39" s="25"/>
      <c r="D39" s="25"/>
      <c r="F39" s="25" t="str">
        <f t="shared" si="2"/>
        <v/>
      </c>
    </row>
    <row r="40" ht="15.75" customHeight="1">
      <c r="A40" s="25"/>
      <c r="D40" s="25"/>
      <c r="F40" s="25" t="str">
        <f t="shared" si="2"/>
        <v/>
      </c>
    </row>
    <row r="41" ht="15.75" customHeight="1">
      <c r="A41" s="25"/>
      <c r="D41" s="25"/>
      <c r="F41" s="25" t="str">
        <f t="shared" si="2"/>
        <v/>
      </c>
    </row>
    <row r="42" ht="15.75" customHeight="1">
      <c r="A42" s="25"/>
      <c r="D42" s="25"/>
      <c r="F42" s="25" t="str">
        <f t="shared" si="2"/>
        <v/>
      </c>
    </row>
    <row r="43" ht="15.75" customHeight="1">
      <c r="A43" s="25"/>
      <c r="D43" s="25"/>
      <c r="F43" s="25" t="str">
        <f t="shared" si="2"/>
        <v/>
      </c>
    </row>
    <row r="44" ht="15.75" customHeight="1">
      <c r="A44" s="25"/>
      <c r="D44" s="25"/>
      <c r="F44" s="25" t="str">
        <f t="shared" si="2"/>
        <v/>
      </c>
    </row>
    <row r="45" ht="15.75" customHeight="1">
      <c r="A45" s="25"/>
      <c r="D45" s="25"/>
      <c r="F45" s="25" t="str">
        <f t="shared" si="2"/>
        <v/>
      </c>
    </row>
    <row r="46" ht="15.75" customHeight="1">
      <c r="A46" s="25"/>
      <c r="D46" s="25"/>
      <c r="F46" s="25" t="str">
        <f t="shared" si="2"/>
        <v/>
      </c>
    </row>
    <row r="47" ht="15.75" customHeight="1">
      <c r="A47" s="25"/>
      <c r="D47" s="25"/>
      <c r="F47" s="25" t="str">
        <f t="shared" si="2"/>
        <v/>
      </c>
    </row>
    <row r="48" ht="15.75" customHeight="1">
      <c r="A48" s="25"/>
      <c r="D48" s="25"/>
      <c r="F48" s="25" t="str">
        <f t="shared" si="2"/>
        <v/>
      </c>
    </row>
    <row r="49" ht="15.75" customHeight="1">
      <c r="A49" s="25"/>
      <c r="D49" s="25"/>
      <c r="F49" s="25" t="str">
        <f t="shared" si="2"/>
        <v/>
      </c>
    </row>
    <row r="50" ht="15.75" customHeight="1">
      <c r="A50" s="25"/>
      <c r="D50" s="25"/>
      <c r="F50" s="25" t="str">
        <f t="shared" si="2"/>
        <v/>
      </c>
    </row>
    <row r="51" ht="15.75" customHeight="1">
      <c r="A51" s="25"/>
      <c r="D51" s="25"/>
      <c r="F51" s="25" t="str">
        <f t="shared" si="2"/>
        <v/>
      </c>
    </row>
    <row r="52" ht="15.75" customHeight="1">
      <c r="A52" s="25"/>
      <c r="D52" s="25"/>
      <c r="F52" s="25" t="str">
        <f t="shared" si="2"/>
        <v/>
      </c>
    </row>
    <row r="53" ht="15.75" customHeight="1">
      <c r="A53" s="25"/>
      <c r="D53" s="25"/>
      <c r="F53" s="25" t="str">
        <f t="shared" si="2"/>
        <v/>
      </c>
    </row>
    <row r="54" ht="15.75" customHeight="1">
      <c r="A54" s="25"/>
      <c r="D54" s="25"/>
      <c r="F54" s="25" t="str">
        <f t="shared" si="2"/>
        <v/>
      </c>
    </row>
    <row r="55" ht="15.75" customHeight="1">
      <c r="A55" s="25"/>
      <c r="D55" s="25"/>
      <c r="F55" s="25" t="str">
        <f t="shared" si="2"/>
        <v/>
      </c>
    </row>
    <row r="56" ht="15.75" customHeight="1">
      <c r="A56" s="25"/>
      <c r="D56" s="25"/>
      <c r="F56" s="25" t="str">
        <f t="shared" si="2"/>
        <v/>
      </c>
    </row>
    <row r="57" ht="15.75" customHeight="1">
      <c r="A57" s="25"/>
      <c r="D57" s="25"/>
      <c r="F57" s="25" t="str">
        <f t="shared" si="2"/>
        <v/>
      </c>
    </row>
    <row r="58" ht="15.75" customHeight="1">
      <c r="A58" s="25"/>
      <c r="D58" s="25"/>
      <c r="F58" s="25" t="str">
        <f t="shared" si="2"/>
        <v/>
      </c>
    </row>
    <row r="59" ht="15.75" customHeight="1">
      <c r="A59" s="25"/>
      <c r="D59" s="25"/>
      <c r="F59" s="25" t="str">
        <f t="shared" si="2"/>
        <v/>
      </c>
    </row>
    <row r="60" ht="15.75" customHeight="1">
      <c r="A60" s="25"/>
      <c r="D60" s="25"/>
      <c r="F60" s="25" t="str">
        <f t="shared" si="2"/>
        <v/>
      </c>
    </row>
    <row r="61" ht="15.75" customHeight="1">
      <c r="A61" s="25"/>
      <c r="D61" s="25"/>
      <c r="F61" s="25" t="str">
        <f t="shared" si="2"/>
        <v/>
      </c>
    </row>
    <row r="62" ht="15.75" customHeight="1">
      <c r="A62" s="25"/>
      <c r="D62" s="25"/>
      <c r="F62" s="25" t="str">
        <f t="shared" si="2"/>
        <v/>
      </c>
    </row>
    <row r="63" ht="15.75" customHeight="1">
      <c r="A63" s="25"/>
      <c r="D63" s="25"/>
      <c r="F63" s="25" t="str">
        <f t="shared" si="2"/>
        <v/>
      </c>
    </row>
    <row r="64" ht="15.75" customHeight="1">
      <c r="A64" s="25"/>
      <c r="D64" s="25"/>
      <c r="F64" s="25" t="str">
        <f t="shared" si="2"/>
        <v/>
      </c>
    </row>
    <row r="65" ht="15.75" customHeight="1">
      <c r="A65" s="25"/>
      <c r="D65" s="25"/>
      <c r="F65" s="25" t="str">
        <f t="shared" si="2"/>
        <v/>
      </c>
    </row>
    <row r="66" ht="15.75" customHeight="1">
      <c r="A66" s="25"/>
      <c r="D66" s="25"/>
      <c r="F66" s="25" t="str">
        <f t="shared" si="2"/>
        <v/>
      </c>
    </row>
    <row r="67" ht="15.75" customHeight="1">
      <c r="A67" s="25"/>
      <c r="D67" s="25"/>
      <c r="F67" s="25" t="str">
        <f t="shared" si="2"/>
        <v/>
      </c>
    </row>
    <row r="68" ht="15.75" customHeight="1">
      <c r="A68" s="25"/>
      <c r="D68" s="25"/>
      <c r="F68" s="25" t="str">
        <f t="shared" si="2"/>
        <v/>
      </c>
    </row>
    <row r="69" ht="15.75" customHeight="1">
      <c r="A69" s="25"/>
      <c r="D69" s="25"/>
      <c r="F69" s="25" t="str">
        <f t="shared" si="2"/>
        <v/>
      </c>
    </row>
    <row r="70" ht="15.75" customHeight="1">
      <c r="A70" s="25"/>
      <c r="D70" s="25"/>
      <c r="F70" s="25" t="str">
        <f t="shared" si="2"/>
        <v/>
      </c>
    </row>
    <row r="71" ht="15.75" customHeight="1">
      <c r="A71" s="25"/>
      <c r="D71" s="25"/>
      <c r="F71" s="25" t="str">
        <f t="shared" si="2"/>
        <v/>
      </c>
    </row>
    <row r="72" ht="15.75" customHeight="1">
      <c r="A72" s="25"/>
      <c r="D72" s="25"/>
      <c r="F72" s="25" t="str">
        <f t="shared" si="2"/>
        <v/>
      </c>
    </row>
    <row r="73" ht="15.75" customHeight="1">
      <c r="A73" s="25"/>
      <c r="D73" s="25"/>
      <c r="F73" s="25" t="str">
        <f t="shared" si="2"/>
        <v/>
      </c>
    </row>
    <row r="74" ht="15.75" customHeight="1">
      <c r="A74" s="25"/>
      <c r="D74" s="25"/>
      <c r="F74" s="25" t="str">
        <f t="shared" si="2"/>
        <v/>
      </c>
    </row>
    <row r="75" ht="15.75" customHeight="1">
      <c r="A75" s="25"/>
      <c r="D75" s="25"/>
      <c r="F75" s="25" t="str">
        <f t="shared" si="2"/>
        <v/>
      </c>
    </row>
    <row r="76" ht="15.75" customHeight="1">
      <c r="A76" s="25"/>
      <c r="D76" s="25"/>
      <c r="F76" s="25" t="str">
        <f t="shared" si="2"/>
        <v/>
      </c>
    </row>
    <row r="77" ht="15.75" customHeight="1">
      <c r="A77" s="25"/>
      <c r="D77" s="25"/>
      <c r="F77" s="25" t="str">
        <f t="shared" si="2"/>
        <v/>
      </c>
    </row>
    <row r="78" ht="15.75" customHeight="1">
      <c r="A78" s="25"/>
      <c r="D78" s="25"/>
      <c r="F78" s="25" t="str">
        <f t="shared" si="2"/>
        <v/>
      </c>
    </row>
    <row r="79" ht="15.75" customHeight="1">
      <c r="A79" s="25"/>
      <c r="D79" s="25"/>
      <c r="F79" s="25" t="str">
        <f t="shared" si="2"/>
        <v/>
      </c>
    </row>
    <row r="80" ht="15.75" customHeight="1">
      <c r="A80" s="25"/>
      <c r="D80" s="25"/>
      <c r="F80" s="25" t="str">
        <f t="shared" si="2"/>
        <v/>
      </c>
    </row>
    <row r="81" ht="15.75" customHeight="1">
      <c r="A81" s="25"/>
      <c r="D81" s="25"/>
      <c r="F81" s="25" t="str">
        <f t="shared" si="2"/>
        <v/>
      </c>
    </row>
    <row r="82" ht="15.75" customHeight="1">
      <c r="A82" s="25"/>
      <c r="D82" s="25"/>
      <c r="F82" s="25" t="str">
        <f t="shared" si="2"/>
        <v/>
      </c>
    </row>
    <row r="83" ht="15.75" customHeight="1">
      <c r="A83" s="25"/>
      <c r="D83" s="25"/>
      <c r="F83" s="25" t="str">
        <f t="shared" si="2"/>
        <v/>
      </c>
    </row>
    <row r="84" ht="15.75" customHeight="1">
      <c r="A84" s="25"/>
      <c r="D84" s="25"/>
      <c r="F84" s="25" t="str">
        <f t="shared" si="2"/>
        <v/>
      </c>
    </row>
    <row r="85" ht="15.75" customHeight="1">
      <c r="A85" s="25"/>
      <c r="D85" s="25"/>
      <c r="F85" s="25" t="str">
        <f t="shared" si="2"/>
        <v/>
      </c>
    </row>
    <row r="86" ht="15.75" customHeight="1">
      <c r="A86" s="25"/>
      <c r="D86" s="25"/>
      <c r="F86" s="25" t="str">
        <f t="shared" si="2"/>
        <v/>
      </c>
    </row>
    <row r="87" ht="15.75" customHeight="1">
      <c r="A87" s="25"/>
      <c r="D87" s="25"/>
      <c r="F87" s="25" t="str">
        <f t="shared" si="2"/>
        <v/>
      </c>
    </row>
    <row r="88" ht="15.75" customHeight="1">
      <c r="A88" s="25"/>
      <c r="D88" s="25"/>
      <c r="F88" s="25" t="str">
        <f t="shared" si="2"/>
        <v/>
      </c>
    </row>
    <row r="89" ht="15.75" customHeight="1">
      <c r="A89" s="25"/>
      <c r="D89" s="25"/>
      <c r="F89" s="25" t="str">
        <f t="shared" si="2"/>
        <v/>
      </c>
    </row>
    <row r="90" ht="15.75" customHeight="1">
      <c r="A90" s="25"/>
      <c r="D90" s="25"/>
      <c r="F90" s="25" t="str">
        <f t="shared" si="2"/>
        <v/>
      </c>
    </row>
    <row r="91" ht="15.75" customHeight="1">
      <c r="A91" s="25"/>
      <c r="D91" s="25"/>
      <c r="F91" s="25" t="str">
        <f t="shared" si="2"/>
        <v/>
      </c>
    </row>
    <row r="92" ht="15.75" customHeight="1">
      <c r="A92" s="25"/>
      <c r="D92" s="25"/>
      <c r="F92" s="25" t="str">
        <f t="shared" si="2"/>
        <v/>
      </c>
    </row>
    <row r="93" ht="15.75" customHeight="1">
      <c r="A93" s="25"/>
      <c r="D93" s="25"/>
      <c r="F93" s="25" t="str">
        <f t="shared" si="2"/>
        <v/>
      </c>
    </row>
    <row r="94" ht="15.75" customHeight="1">
      <c r="A94" s="25"/>
      <c r="D94" s="25"/>
      <c r="F94" s="25" t="str">
        <f t="shared" si="2"/>
        <v/>
      </c>
    </row>
    <row r="95" ht="15.75" customHeight="1">
      <c r="A95" s="25"/>
      <c r="D95" s="25"/>
      <c r="F95" s="25" t="str">
        <f t="shared" si="2"/>
        <v/>
      </c>
    </row>
    <row r="96" ht="15.75" customHeight="1">
      <c r="A96" s="25"/>
      <c r="D96" s="25"/>
      <c r="F96" s="25" t="str">
        <f t="shared" si="2"/>
        <v/>
      </c>
    </row>
    <row r="97" ht="15.75" customHeight="1">
      <c r="A97" s="25"/>
      <c r="D97" s="25"/>
      <c r="F97" s="25" t="str">
        <f t="shared" si="2"/>
        <v/>
      </c>
    </row>
    <row r="98" ht="15.75" customHeight="1">
      <c r="A98" s="25"/>
      <c r="D98" s="25"/>
      <c r="F98" s="25" t="str">
        <f t="shared" si="2"/>
        <v/>
      </c>
    </row>
    <row r="99" ht="15.75" customHeight="1">
      <c r="A99" s="25"/>
      <c r="D99" s="25"/>
      <c r="F99" s="25" t="str">
        <f t="shared" si="2"/>
        <v/>
      </c>
    </row>
    <row r="100" ht="15.75" customHeight="1">
      <c r="A100" s="25"/>
      <c r="D100" s="25"/>
      <c r="F100" s="25" t="str">
        <f t="shared" si="2"/>
        <v/>
      </c>
    </row>
    <row r="101" ht="15.75" customHeight="1">
      <c r="A101" s="25"/>
      <c r="D101" s="25"/>
      <c r="F101" s="25" t="str">
        <f t="shared" si="2"/>
        <v/>
      </c>
    </row>
    <row r="102" ht="15.75" customHeight="1">
      <c r="A102" s="25"/>
      <c r="D102" s="25"/>
      <c r="F102" s="25" t="str">
        <f t="shared" si="2"/>
        <v/>
      </c>
    </row>
    <row r="103" ht="15.75" customHeight="1">
      <c r="A103" s="25"/>
      <c r="D103" s="25"/>
      <c r="F103" s="25" t="str">
        <f t="shared" si="2"/>
        <v/>
      </c>
    </row>
    <row r="104" ht="15.75" customHeight="1">
      <c r="A104" s="25"/>
      <c r="D104" s="25"/>
      <c r="F104" s="25" t="str">
        <f t="shared" si="2"/>
        <v/>
      </c>
    </row>
    <row r="105" ht="15.75" customHeight="1">
      <c r="A105" s="25"/>
      <c r="D105" s="25"/>
      <c r="F105" s="25" t="str">
        <f t="shared" si="2"/>
        <v/>
      </c>
    </row>
    <row r="106" ht="15.75" customHeight="1">
      <c r="A106" s="25"/>
      <c r="D106" s="25"/>
      <c r="F106" s="25" t="str">
        <f t="shared" si="2"/>
        <v/>
      </c>
    </row>
    <row r="107" ht="15.75" customHeight="1">
      <c r="A107" s="25"/>
      <c r="D107" s="25"/>
      <c r="F107" s="25" t="str">
        <f t="shared" si="2"/>
        <v/>
      </c>
    </row>
    <row r="108" ht="15.75" customHeight="1">
      <c r="A108" s="25"/>
      <c r="D108" s="25"/>
      <c r="F108" s="25" t="str">
        <f t="shared" si="2"/>
        <v/>
      </c>
    </row>
    <row r="109" ht="15.75" customHeight="1">
      <c r="A109" s="25"/>
      <c r="D109" s="25"/>
      <c r="F109" s="25" t="str">
        <f t="shared" si="2"/>
        <v/>
      </c>
    </row>
    <row r="110" ht="15.75" customHeight="1">
      <c r="A110" s="25"/>
      <c r="D110" s="25"/>
      <c r="F110" s="25" t="str">
        <f t="shared" si="2"/>
        <v/>
      </c>
    </row>
    <row r="111" ht="15.75" customHeight="1">
      <c r="A111" s="25"/>
      <c r="D111" s="25"/>
      <c r="F111" s="25" t="str">
        <f t="shared" si="2"/>
        <v/>
      </c>
    </row>
    <row r="112" ht="15.75" customHeight="1">
      <c r="A112" s="25"/>
      <c r="D112" s="25"/>
      <c r="F112" s="25" t="str">
        <f t="shared" si="2"/>
        <v/>
      </c>
    </row>
    <row r="113" ht="15.75" customHeight="1">
      <c r="A113" s="25"/>
      <c r="D113" s="25"/>
      <c r="F113" s="25" t="str">
        <f t="shared" si="2"/>
        <v/>
      </c>
    </row>
    <row r="114" ht="15.75" customHeight="1">
      <c r="A114" s="25"/>
      <c r="D114" s="25"/>
      <c r="F114" s="25" t="str">
        <f t="shared" si="2"/>
        <v/>
      </c>
    </row>
    <row r="115" ht="15.75" customHeight="1">
      <c r="A115" s="25"/>
      <c r="D115" s="25"/>
      <c r="F115" s="25" t="str">
        <f t="shared" si="2"/>
        <v/>
      </c>
    </row>
    <row r="116" ht="15.75" customHeight="1">
      <c r="A116" s="25"/>
      <c r="D116" s="25"/>
      <c r="F116" s="25" t="str">
        <f t="shared" si="2"/>
        <v/>
      </c>
    </row>
    <row r="117" ht="15.75" customHeight="1">
      <c r="A117" s="25"/>
      <c r="D117" s="25"/>
      <c r="F117" s="25" t="str">
        <f t="shared" si="2"/>
        <v/>
      </c>
    </row>
    <row r="118" ht="15.75" customHeight="1">
      <c r="A118" s="25"/>
      <c r="D118" s="25"/>
      <c r="F118" s="25" t="str">
        <f t="shared" si="2"/>
        <v/>
      </c>
    </row>
    <row r="119" ht="15.75" customHeight="1">
      <c r="A119" s="25"/>
      <c r="D119" s="25"/>
      <c r="F119" s="25" t="str">
        <f t="shared" si="2"/>
        <v/>
      </c>
    </row>
    <row r="120" ht="15.75" customHeight="1">
      <c r="A120" s="25"/>
      <c r="D120" s="25"/>
      <c r="F120" s="25" t="str">
        <f t="shared" si="2"/>
        <v/>
      </c>
    </row>
    <row r="121" ht="15.75" customHeight="1">
      <c r="A121" s="25"/>
      <c r="D121" s="25"/>
      <c r="F121" s="25" t="str">
        <f t="shared" si="2"/>
        <v/>
      </c>
    </row>
    <row r="122" ht="15.75" customHeight="1">
      <c r="A122" s="25"/>
      <c r="D122" s="25"/>
      <c r="F122" s="25" t="str">
        <f t="shared" si="2"/>
        <v/>
      </c>
    </row>
    <row r="123" ht="15.75" customHeight="1">
      <c r="A123" s="25"/>
      <c r="D123" s="25"/>
      <c r="F123" s="25" t="str">
        <f t="shared" si="2"/>
        <v/>
      </c>
    </row>
    <row r="124" ht="15.75" customHeight="1">
      <c r="A124" s="25"/>
      <c r="D124" s="25"/>
      <c r="F124" s="25" t="str">
        <f t="shared" si="2"/>
        <v/>
      </c>
    </row>
    <row r="125" ht="15.75" customHeight="1">
      <c r="A125" s="25"/>
      <c r="D125" s="25"/>
      <c r="F125" s="25" t="str">
        <f t="shared" si="2"/>
        <v/>
      </c>
    </row>
    <row r="126" ht="15.75" customHeight="1">
      <c r="A126" s="25"/>
      <c r="D126" s="25"/>
      <c r="F126" s="25" t="str">
        <f t="shared" si="2"/>
        <v/>
      </c>
    </row>
    <row r="127" ht="15.75" customHeight="1">
      <c r="A127" s="25"/>
      <c r="D127" s="25"/>
      <c r="F127" s="25" t="str">
        <f t="shared" si="2"/>
        <v/>
      </c>
    </row>
    <row r="128" ht="15.75" customHeight="1">
      <c r="A128" s="25"/>
      <c r="D128" s="25"/>
      <c r="F128" s="25" t="str">
        <f t="shared" si="2"/>
        <v/>
      </c>
    </row>
    <row r="129" ht="15.75" customHeight="1">
      <c r="A129" s="25"/>
      <c r="D129" s="25"/>
      <c r="F129" s="25" t="str">
        <f t="shared" si="2"/>
        <v/>
      </c>
    </row>
    <row r="130" ht="15.75" customHeight="1">
      <c r="A130" s="25"/>
      <c r="D130" s="25"/>
      <c r="F130" s="25" t="str">
        <f t="shared" si="2"/>
        <v/>
      </c>
    </row>
    <row r="131" ht="15.75" customHeight="1">
      <c r="A131" s="25"/>
      <c r="D131" s="25"/>
      <c r="F131" s="25" t="str">
        <f t="shared" si="2"/>
        <v/>
      </c>
    </row>
    <row r="132" ht="15.75" customHeight="1">
      <c r="A132" s="25"/>
      <c r="D132" s="25"/>
      <c r="F132" s="25" t="str">
        <f t="shared" si="2"/>
        <v/>
      </c>
    </row>
    <row r="133" ht="15.75" customHeight="1">
      <c r="A133" s="25"/>
      <c r="D133" s="25"/>
      <c r="F133" s="25" t="str">
        <f t="shared" si="2"/>
        <v/>
      </c>
    </row>
    <row r="134" ht="15.75" customHeight="1">
      <c r="A134" s="25"/>
      <c r="D134" s="25"/>
      <c r="F134" s="25" t="str">
        <f t="shared" si="2"/>
        <v/>
      </c>
    </row>
    <row r="135" ht="15.75" customHeight="1">
      <c r="A135" s="25"/>
      <c r="D135" s="25"/>
      <c r="F135" s="25" t="str">
        <f t="shared" si="2"/>
        <v/>
      </c>
    </row>
    <row r="136" ht="15.75" customHeight="1">
      <c r="A136" s="25"/>
      <c r="D136" s="25"/>
      <c r="F136" s="25" t="str">
        <f t="shared" si="2"/>
        <v/>
      </c>
    </row>
    <row r="137" ht="15.75" customHeight="1">
      <c r="A137" s="25"/>
      <c r="D137" s="25"/>
      <c r="F137" s="25" t="str">
        <f t="shared" si="2"/>
        <v/>
      </c>
    </row>
    <row r="138" ht="15.75" customHeight="1">
      <c r="A138" s="25"/>
      <c r="D138" s="25"/>
      <c r="F138" s="25" t="str">
        <f t="shared" si="2"/>
        <v/>
      </c>
    </row>
    <row r="139" ht="15.75" customHeight="1">
      <c r="A139" s="25"/>
      <c r="D139" s="25"/>
      <c r="F139" s="25" t="str">
        <f t="shared" si="2"/>
        <v/>
      </c>
    </row>
    <row r="140" ht="15.75" customHeight="1">
      <c r="A140" s="25"/>
      <c r="D140" s="25"/>
      <c r="F140" s="25" t="str">
        <f t="shared" si="2"/>
        <v/>
      </c>
    </row>
    <row r="141" ht="15.75" customHeight="1">
      <c r="A141" s="25"/>
      <c r="D141" s="25"/>
      <c r="F141" s="25" t="str">
        <f t="shared" si="2"/>
        <v/>
      </c>
    </row>
    <row r="142" ht="15.75" customHeight="1">
      <c r="A142" s="25"/>
      <c r="D142" s="25"/>
      <c r="F142" s="25" t="str">
        <f t="shared" si="2"/>
        <v/>
      </c>
    </row>
    <row r="143" ht="15.75" customHeight="1">
      <c r="A143" s="25"/>
      <c r="D143" s="25"/>
      <c r="F143" s="25" t="str">
        <f t="shared" si="2"/>
        <v/>
      </c>
    </row>
    <row r="144" ht="15.75" customHeight="1">
      <c r="A144" s="25"/>
      <c r="D144" s="25"/>
      <c r="F144" s="25" t="str">
        <f t="shared" si="2"/>
        <v/>
      </c>
    </row>
    <row r="145" ht="15.75" customHeight="1">
      <c r="A145" s="25"/>
      <c r="D145" s="25"/>
      <c r="F145" s="25" t="str">
        <f t="shared" si="2"/>
        <v/>
      </c>
    </row>
    <row r="146" ht="15.75" customHeight="1">
      <c r="A146" s="25"/>
      <c r="D146" s="25"/>
      <c r="F146" s="25" t="str">
        <f t="shared" si="2"/>
        <v/>
      </c>
    </row>
    <row r="147" ht="15.75" customHeight="1">
      <c r="A147" s="25"/>
      <c r="D147" s="25"/>
      <c r="F147" s="25" t="str">
        <f t="shared" si="2"/>
        <v/>
      </c>
    </row>
    <row r="148" ht="15.75" customHeight="1">
      <c r="A148" s="25"/>
      <c r="D148" s="25"/>
      <c r="F148" s="25" t="str">
        <f t="shared" si="2"/>
        <v/>
      </c>
    </row>
    <row r="149" ht="15.75" customHeight="1">
      <c r="A149" s="25"/>
      <c r="D149" s="25"/>
      <c r="F149" s="25" t="str">
        <f t="shared" si="2"/>
        <v/>
      </c>
    </row>
    <row r="150" ht="15.75" customHeight="1">
      <c r="A150" s="25"/>
      <c r="D150" s="25"/>
      <c r="F150" s="25" t="str">
        <f t="shared" si="2"/>
        <v/>
      </c>
    </row>
    <row r="151" ht="15.75" customHeight="1">
      <c r="A151" s="25"/>
      <c r="D151" s="25"/>
      <c r="F151" s="25" t="str">
        <f t="shared" si="2"/>
        <v/>
      </c>
    </row>
    <row r="152" ht="15.75" customHeight="1">
      <c r="A152" s="25"/>
      <c r="D152" s="25"/>
      <c r="F152" s="25" t="str">
        <f t="shared" si="2"/>
        <v/>
      </c>
    </row>
    <row r="153" ht="15.75" customHeight="1">
      <c r="A153" s="25"/>
      <c r="D153" s="25"/>
      <c r="F153" s="25" t="str">
        <f t="shared" si="2"/>
        <v/>
      </c>
    </row>
    <row r="154" ht="15.75" customHeight="1">
      <c r="A154" s="25"/>
      <c r="D154" s="25"/>
      <c r="F154" s="25" t="str">
        <f t="shared" si="2"/>
        <v/>
      </c>
    </row>
    <row r="155" ht="15.75" customHeight="1">
      <c r="A155" s="25"/>
      <c r="D155" s="25"/>
      <c r="F155" s="25" t="str">
        <f t="shared" si="2"/>
        <v/>
      </c>
    </row>
    <row r="156" ht="15.75" customHeight="1">
      <c r="A156" s="25"/>
      <c r="D156" s="25"/>
      <c r="F156" s="25" t="str">
        <f t="shared" si="2"/>
        <v/>
      </c>
    </row>
    <row r="157" ht="15.75" customHeight="1">
      <c r="A157" s="25"/>
      <c r="D157" s="25"/>
      <c r="F157" s="25" t="str">
        <f t="shared" si="2"/>
        <v/>
      </c>
    </row>
    <row r="158" ht="15.75" customHeight="1">
      <c r="A158" s="25"/>
      <c r="D158" s="25"/>
      <c r="F158" s="25" t="str">
        <f t="shared" si="2"/>
        <v/>
      </c>
    </row>
    <row r="159" ht="15.75" customHeight="1">
      <c r="A159" s="25"/>
      <c r="D159" s="25"/>
      <c r="F159" s="25" t="str">
        <f t="shared" si="2"/>
        <v/>
      </c>
    </row>
    <row r="160" ht="15.75" customHeight="1">
      <c r="A160" s="25"/>
      <c r="D160" s="25"/>
      <c r="F160" s="25" t="str">
        <f t="shared" si="2"/>
        <v/>
      </c>
    </row>
    <row r="161" ht="15.75" customHeight="1">
      <c r="A161" s="25"/>
      <c r="D161" s="25"/>
      <c r="F161" s="25" t="str">
        <f t="shared" si="2"/>
        <v/>
      </c>
    </row>
    <row r="162" ht="15.75" customHeight="1">
      <c r="A162" s="25"/>
      <c r="D162" s="25"/>
      <c r="F162" s="25" t="str">
        <f t="shared" si="2"/>
        <v/>
      </c>
    </row>
    <row r="163" ht="15.75" customHeight="1">
      <c r="A163" s="25"/>
      <c r="D163" s="25"/>
      <c r="F163" s="25" t="str">
        <f t="shared" si="2"/>
        <v/>
      </c>
    </row>
    <row r="164" ht="15.75" customHeight="1">
      <c r="A164" s="25"/>
      <c r="D164" s="25"/>
      <c r="F164" s="25" t="str">
        <f t="shared" si="2"/>
        <v/>
      </c>
    </row>
    <row r="165" ht="15.75" customHeight="1">
      <c r="A165" s="25"/>
      <c r="D165" s="25"/>
      <c r="F165" s="25" t="str">
        <f t="shared" si="2"/>
        <v/>
      </c>
    </row>
    <row r="166" ht="15.75" customHeight="1">
      <c r="A166" s="25"/>
      <c r="D166" s="25"/>
      <c r="F166" s="25" t="str">
        <f t="shared" si="2"/>
        <v/>
      </c>
    </row>
    <row r="167" ht="15.75" customHeight="1">
      <c r="A167" s="25"/>
      <c r="D167" s="25"/>
      <c r="F167" s="25" t="str">
        <f t="shared" si="2"/>
        <v/>
      </c>
    </row>
    <row r="168" ht="15.75" customHeight="1">
      <c r="A168" s="25"/>
      <c r="D168" s="25"/>
      <c r="F168" s="25" t="str">
        <f t="shared" si="2"/>
        <v/>
      </c>
    </row>
    <row r="169" ht="15.75" customHeight="1">
      <c r="A169" s="25"/>
      <c r="D169" s="25"/>
      <c r="F169" s="25" t="str">
        <f t="shared" si="2"/>
        <v/>
      </c>
    </row>
    <row r="170" ht="15.75" customHeight="1">
      <c r="A170" s="25"/>
      <c r="D170" s="25"/>
      <c r="F170" s="25" t="str">
        <f t="shared" si="2"/>
        <v/>
      </c>
    </row>
    <row r="171" ht="15.75" customHeight="1">
      <c r="A171" s="25"/>
      <c r="D171" s="25"/>
      <c r="F171" s="25" t="str">
        <f t="shared" si="2"/>
        <v/>
      </c>
    </row>
    <row r="172" ht="15.75" customHeight="1">
      <c r="A172" s="25"/>
      <c r="D172" s="25"/>
      <c r="F172" s="25" t="str">
        <f t="shared" si="2"/>
        <v/>
      </c>
    </row>
    <row r="173" ht="15.75" customHeight="1">
      <c r="A173" s="25"/>
      <c r="D173" s="25"/>
      <c r="F173" s="25" t="str">
        <f t="shared" si="2"/>
        <v/>
      </c>
    </row>
    <row r="174" ht="15.75" customHeight="1">
      <c r="A174" s="25"/>
      <c r="D174" s="25"/>
      <c r="F174" s="25" t="str">
        <f t="shared" si="2"/>
        <v/>
      </c>
    </row>
    <row r="175" ht="15.75" customHeight="1">
      <c r="A175" s="25"/>
      <c r="D175" s="25"/>
      <c r="F175" s="25" t="str">
        <f t="shared" si="2"/>
        <v/>
      </c>
    </row>
    <row r="176" ht="15.75" customHeight="1">
      <c r="A176" s="25"/>
      <c r="D176" s="25"/>
      <c r="F176" s="25" t="str">
        <f t="shared" si="2"/>
        <v/>
      </c>
    </row>
    <row r="177" ht="15.75" customHeight="1">
      <c r="A177" s="25"/>
      <c r="D177" s="25"/>
      <c r="F177" s="25" t="str">
        <f t="shared" si="2"/>
        <v/>
      </c>
    </row>
    <row r="178" ht="15.75" customHeight="1">
      <c r="A178" s="25"/>
      <c r="D178" s="25"/>
      <c r="F178" s="25" t="str">
        <f t="shared" si="2"/>
        <v/>
      </c>
    </row>
    <row r="179" ht="15.75" customHeight="1">
      <c r="A179" s="25"/>
      <c r="D179" s="25"/>
      <c r="F179" s="25" t="str">
        <f t="shared" si="2"/>
        <v/>
      </c>
    </row>
    <row r="180" ht="15.75" customHeight="1">
      <c r="A180" s="25"/>
      <c r="D180" s="25"/>
      <c r="F180" s="25" t="str">
        <f t="shared" si="2"/>
        <v/>
      </c>
    </row>
    <row r="181" ht="15.75" customHeight="1">
      <c r="A181" s="25"/>
      <c r="D181" s="25"/>
      <c r="F181" s="25" t="str">
        <f t="shared" si="2"/>
        <v/>
      </c>
    </row>
    <row r="182" ht="15.75" customHeight="1">
      <c r="A182" s="25"/>
      <c r="D182" s="25"/>
      <c r="F182" s="25" t="str">
        <f t="shared" si="2"/>
        <v/>
      </c>
    </row>
    <row r="183" ht="15.75" customHeight="1">
      <c r="A183" s="25"/>
      <c r="D183" s="25"/>
      <c r="F183" s="25" t="str">
        <f t="shared" si="2"/>
        <v/>
      </c>
    </row>
    <row r="184" ht="15.75" customHeight="1">
      <c r="A184" s="25"/>
      <c r="D184" s="25"/>
      <c r="F184" s="25" t="str">
        <f t="shared" si="2"/>
        <v/>
      </c>
    </row>
    <row r="185" ht="15.75" customHeight="1">
      <c r="A185" s="25"/>
      <c r="D185" s="25"/>
      <c r="F185" s="25" t="str">
        <f t="shared" si="2"/>
        <v/>
      </c>
    </row>
    <row r="186" ht="15.75" customHeight="1">
      <c r="A186" s="25"/>
      <c r="D186" s="25"/>
      <c r="F186" s="25" t="str">
        <f t="shared" si="2"/>
        <v/>
      </c>
    </row>
    <row r="187" ht="15.75" customHeight="1">
      <c r="A187" s="25"/>
      <c r="D187" s="25"/>
      <c r="F187" s="25" t="str">
        <f t="shared" si="2"/>
        <v/>
      </c>
    </row>
    <row r="188" ht="15.75" customHeight="1">
      <c r="A188" s="25"/>
      <c r="D188" s="25"/>
      <c r="F188" s="25" t="str">
        <f t="shared" si="2"/>
        <v/>
      </c>
    </row>
    <row r="189" ht="15.75" customHeight="1">
      <c r="A189" s="25"/>
      <c r="D189" s="25"/>
      <c r="F189" s="25" t="str">
        <f t="shared" si="2"/>
        <v/>
      </c>
    </row>
    <row r="190" ht="15.75" customHeight="1">
      <c r="A190" s="25"/>
      <c r="D190" s="25"/>
      <c r="F190" s="25" t="str">
        <f t="shared" si="2"/>
        <v/>
      </c>
    </row>
    <row r="191" ht="15.75" customHeight="1">
      <c r="A191" s="25"/>
      <c r="D191" s="25"/>
      <c r="F191" s="25" t="str">
        <f t="shared" si="2"/>
        <v/>
      </c>
    </row>
    <row r="192" ht="15.75" customHeight="1">
      <c r="A192" s="25"/>
      <c r="D192" s="25"/>
      <c r="F192" s="25" t="str">
        <f t="shared" si="2"/>
        <v/>
      </c>
    </row>
    <row r="193" ht="15.75" customHeight="1">
      <c r="A193" s="25"/>
      <c r="D193" s="25"/>
      <c r="F193" s="25" t="str">
        <f t="shared" si="2"/>
        <v/>
      </c>
    </row>
    <row r="194" ht="15.75" customHeight="1">
      <c r="A194" s="25"/>
      <c r="D194" s="25"/>
      <c r="F194" s="25" t="str">
        <f t="shared" si="2"/>
        <v/>
      </c>
    </row>
    <row r="195" ht="15.75" customHeight="1">
      <c r="A195" s="25"/>
      <c r="D195" s="25"/>
      <c r="F195" s="25" t="str">
        <f t="shared" si="2"/>
        <v/>
      </c>
    </row>
    <row r="196" ht="15.75" customHeight="1">
      <c r="A196" s="25"/>
      <c r="D196" s="25"/>
      <c r="F196" s="25" t="str">
        <f t="shared" si="2"/>
        <v/>
      </c>
    </row>
    <row r="197" ht="15.75" customHeight="1">
      <c r="A197" s="25"/>
      <c r="D197" s="25"/>
      <c r="F197" s="25" t="str">
        <f t="shared" si="2"/>
        <v/>
      </c>
    </row>
    <row r="198" ht="15.75" customHeight="1">
      <c r="A198" s="25"/>
      <c r="D198" s="25"/>
      <c r="F198" s="25" t="str">
        <f t="shared" si="2"/>
        <v/>
      </c>
    </row>
    <row r="199" ht="15.75" customHeight="1">
      <c r="A199" s="25"/>
      <c r="D199" s="25"/>
      <c r="F199" s="25" t="str">
        <f t="shared" si="2"/>
        <v/>
      </c>
    </row>
    <row r="200" ht="15.75" customHeight="1">
      <c r="A200" s="25"/>
      <c r="D200" s="25"/>
      <c r="F200" s="25" t="str">
        <f t="shared" si="2"/>
        <v/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200">
      <formula1>"General Conditions &amp; Project Management,Selective Demolition,Framing,Windows &amp; Exterior Openings,Plumbing &amp; Waste Pump System,Electrical,HVAC - 3 Zone Mini Split,Insulation &amp; Air Sealing,Drywall &amp; Finishing,Suspended Ceiling System,Interior Doors,Trim &amp; H"&amp;"ardware,Flooring,Painting,Master Bathroom,Kitchen,Cleanup &amp; Closeout"</formula1>
    </dataValidation>
    <dataValidation type="list" allowBlank="1" sqref="D2:D200">
      <formula1>"ea,lf,sf,sheet,lot,gal,bag,box,roll,set,pair,day"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0.0"/>
    <col customWidth="1" min="3" max="4" width="42.0"/>
    <col customWidth="1" min="5" max="26" width="8.63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</row>
    <row r="2">
      <c r="A2" s="7" t="s">
        <v>154</v>
      </c>
      <c r="B2" s="7" t="s">
        <v>155</v>
      </c>
      <c r="C2" s="7" t="s">
        <v>156</v>
      </c>
      <c r="D2" s="7" t="s">
        <v>157</v>
      </c>
    </row>
    <row r="3">
      <c r="A3" s="7" t="s">
        <v>158</v>
      </c>
      <c r="B3" s="7" t="s">
        <v>155</v>
      </c>
      <c r="C3" s="7" t="s">
        <v>159</v>
      </c>
      <c r="D3" s="7" t="s">
        <v>160</v>
      </c>
    </row>
    <row r="4">
      <c r="A4" s="7" t="s">
        <v>161</v>
      </c>
      <c r="B4" s="7" t="s">
        <v>155</v>
      </c>
      <c r="C4" s="7" t="s">
        <v>162</v>
      </c>
      <c r="D4" s="7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</row>
    <row r="6">
      <c r="A6" s="7" t="s">
        <v>168</v>
      </c>
      <c r="B6" s="7" t="s">
        <v>155</v>
      </c>
      <c r="C6" s="7" t="s">
        <v>169</v>
      </c>
      <c r="D6" s="7" t="s">
        <v>170</v>
      </c>
    </row>
    <row r="7">
      <c r="A7" s="7" t="s">
        <v>171</v>
      </c>
      <c r="B7" s="7" t="s">
        <v>165</v>
      </c>
      <c r="C7" s="7" t="s">
        <v>172</v>
      </c>
      <c r="D7" s="7" t="s">
        <v>173</v>
      </c>
    </row>
    <row r="8">
      <c r="A8" s="7" t="s">
        <v>174</v>
      </c>
      <c r="B8" s="7" t="s">
        <v>175</v>
      </c>
      <c r="C8" s="7" t="s">
        <v>176</v>
      </c>
      <c r="D8" s="7" t="s">
        <v>177</v>
      </c>
    </row>
    <row r="9">
      <c r="A9" s="7" t="s">
        <v>178</v>
      </c>
      <c r="B9" s="7" t="s">
        <v>175</v>
      </c>
      <c r="C9" s="7" t="s">
        <v>179</v>
      </c>
      <c r="D9" s="7" t="s">
        <v>180</v>
      </c>
    </row>
    <row r="10">
      <c r="A10" s="7" t="s">
        <v>181</v>
      </c>
      <c r="B10" s="7" t="s">
        <v>175</v>
      </c>
      <c r="C10" s="7" t="s">
        <v>182</v>
      </c>
      <c r="D10" s="7" t="s">
        <v>183</v>
      </c>
    </row>
    <row r="11">
      <c r="A11" s="7" t="s">
        <v>184</v>
      </c>
      <c r="B11" s="7" t="s">
        <v>165</v>
      </c>
      <c r="C11" s="7" t="s">
        <v>185</v>
      </c>
      <c r="D11" s="7" t="s">
        <v>186</v>
      </c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25"/>
      <c r="B18" s="25"/>
    </row>
    <row r="19">
      <c r="A19" s="25"/>
      <c r="B19" s="25"/>
    </row>
    <row r="20">
      <c r="A20" s="25"/>
      <c r="B20" s="25"/>
    </row>
    <row r="21" ht="15.75" customHeight="1">
      <c r="A21" s="25"/>
      <c r="B21" s="25"/>
    </row>
    <row r="22" ht="15.75" customHeight="1">
      <c r="A22" s="25"/>
      <c r="B22" s="25"/>
    </row>
    <row r="23" ht="15.75" customHeight="1">
      <c r="A23" s="25"/>
      <c r="B23" s="25"/>
    </row>
    <row r="24" ht="15.75" customHeight="1">
      <c r="A24" s="25"/>
      <c r="B24" s="25"/>
    </row>
    <row r="25" ht="15.75" customHeight="1">
      <c r="A25" s="25"/>
      <c r="B25" s="25"/>
    </row>
    <row r="26" ht="15.75" customHeight="1">
      <c r="A26" s="25"/>
      <c r="B26" s="25"/>
    </row>
    <row r="27" ht="15.75" customHeight="1">
      <c r="A27" s="25"/>
      <c r="B27" s="25"/>
    </row>
    <row r="28" ht="15.75" customHeight="1">
      <c r="A28" s="25"/>
      <c r="B28" s="25"/>
    </row>
    <row r="29" ht="15.75" customHeight="1">
      <c r="A29" s="25"/>
      <c r="B29" s="25"/>
    </row>
    <row r="30" ht="15.75" customHeight="1">
      <c r="A30" s="25"/>
      <c r="B30" s="25"/>
    </row>
    <row r="31" ht="15.75" customHeight="1">
      <c r="A31" s="25"/>
      <c r="B31" s="25"/>
    </row>
    <row r="32" ht="15.75" customHeight="1">
      <c r="A32" s="25"/>
      <c r="B32" s="25"/>
    </row>
    <row r="33" ht="15.75" customHeight="1">
      <c r="A33" s="25"/>
      <c r="B33" s="25"/>
    </row>
    <row r="34" ht="15.75" customHeight="1">
      <c r="A34" s="25"/>
      <c r="B34" s="25"/>
    </row>
    <row r="35" ht="15.75" customHeight="1">
      <c r="A35" s="25"/>
      <c r="B35" s="25"/>
    </row>
    <row r="36" ht="15.75" customHeight="1">
      <c r="A36" s="25"/>
      <c r="B36" s="25"/>
    </row>
    <row r="37" ht="15.75" customHeight="1">
      <c r="A37" s="25"/>
      <c r="B37" s="25"/>
    </row>
    <row r="38" ht="15.75" customHeight="1">
      <c r="A38" s="25"/>
      <c r="B38" s="25"/>
    </row>
    <row r="39" ht="15.75" customHeight="1">
      <c r="A39" s="25"/>
      <c r="B39" s="25"/>
    </row>
    <row r="40" ht="15.75" customHeight="1">
      <c r="A40" s="25"/>
      <c r="B40" s="25"/>
    </row>
    <row r="41" ht="15.75" customHeight="1">
      <c r="A41" s="25"/>
      <c r="B41" s="25"/>
    </row>
    <row r="42" ht="15.75" customHeight="1">
      <c r="A42" s="25"/>
      <c r="B42" s="25"/>
    </row>
    <row r="43" ht="15.75" customHeight="1">
      <c r="A43" s="25"/>
      <c r="B43" s="25"/>
    </row>
    <row r="44" ht="15.75" customHeight="1">
      <c r="A44" s="25"/>
      <c r="B44" s="25"/>
    </row>
    <row r="45" ht="15.75" customHeight="1">
      <c r="A45" s="25"/>
      <c r="B45" s="25"/>
    </row>
    <row r="46" ht="15.75" customHeight="1">
      <c r="A46" s="25"/>
      <c r="B46" s="25"/>
    </row>
    <row r="47" ht="15.75" customHeight="1">
      <c r="A47" s="25"/>
      <c r="B47" s="25"/>
    </row>
    <row r="48" ht="15.75" customHeight="1">
      <c r="A48" s="25"/>
      <c r="B48" s="25"/>
    </row>
    <row r="49" ht="15.75" customHeight="1">
      <c r="A49" s="25"/>
      <c r="B49" s="25"/>
    </row>
    <row r="50" ht="15.75" customHeight="1">
      <c r="A50" s="25"/>
      <c r="B50" s="25"/>
    </row>
    <row r="51" ht="15.75" customHeight="1">
      <c r="A51" s="25"/>
      <c r="B51" s="25"/>
    </row>
    <row r="52" ht="15.75" customHeight="1">
      <c r="A52" s="25"/>
      <c r="B52" s="25"/>
    </row>
    <row r="53" ht="15.75" customHeight="1">
      <c r="A53" s="25"/>
      <c r="B53" s="25"/>
    </row>
    <row r="54" ht="15.75" customHeight="1">
      <c r="A54" s="25"/>
      <c r="B54" s="25"/>
    </row>
    <row r="55" ht="15.75" customHeight="1">
      <c r="A55" s="25"/>
      <c r="B55" s="25"/>
    </row>
    <row r="56" ht="15.75" customHeight="1">
      <c r="A56" s="25"/>
      <c r="B56" s="25"/>
    </row>
    <row r="57" ht="15.75" customHeight="1">
      <c r="A57" s="25"/>
      <c r="B57" s="25"/>
    </row>
    <row r="58" ht="15.75" customHeight="1">
      <c r="A58" s="25"/>
      <c r="B58" s="25"/>
    </row>
    <row r="59" ht="15.75" customHeight="1">
      <c r="A59" s="25"/>
      <c r="B59" s="25"/>
    </row>
    <row r="60" ht="15.75" customHeight="1">
      <c r="A60" s="25"/>
      <c r="B60" s="25"/>
    </row>
    <row r="61" ht="15.75" customHeight="1">
      <c r="A61" s="25"/>
      <c r="B61" s="25"/>
    </row>
    <row r="62" ht="15.75" customHeight="1">
      <c r="A62" s="25"/>
      <c r="B62" s="25"/>
    </row>
    <row r="63" ht="15.75" customHeight="1">
      <c r="A63" s="25"/>
      <c r="B63" s="25"/>
    </row>
    <row r="64" ht="15.75" customHeight="1">
      <c r="A64" s="25"/>
      <c r="B64" s="25"/>
    </row>
    <row r="65" ht="15.75" customHeight="1">
      <c r="A65" s="25"/>
      <c r="B65" s="25"/>
    </row>
    <row r="66" ht="15.75" customHeight="1">
      <c r="A66" s="25"/>
      <c r="B66" s="25"/>
    </row>
    <row r="67" ht="15.75" customHeight="1">
      <c r="A67" s="25"/>
      <c r="B67" s="25"/>
    </row>
    <row r="68" ht="15.75" customHeight="1">
      <c r="A68" s="25"/>
      <c r="B68" s="25"/>
    </row>
    <row r="69" ht="15.75" customHeight="1">
      <c r="A69" s="25"/>
      <c r="B69" s="25"/>
    </row>
    <row r="70" ht="15.75" customHeight="1">
      <c r="A70" s="25"/>
      <c r="B70" s="25"/>
    </row>
    <row r="71" ht="15.75" customHeight="1">
      <c r="A71" s="25"/>
      <c r="B71" s="25"/>
    </row>
    <row r="72" ht="15.75" customHeight="1">
      <c r="A72" s="25"/>
      <c r="B72" s="25"/>
    </row>
    <row r="73" ht="15.75" customHeight="1">
      <c r="A73" s="25"/>
      <c r="B73" s="25"/>
    </row>
    <row r="74" ht="15.75" customHeight="1">
      <c r="A74" s="25"/>
      <c r="B74" s="25"/>
    </row>
    <row r="75" ht="15.75" customHeight="1">
      <c r="A75" s="25"/>
      <c r="B75" s="25"/>
    </row>
    <row r="76" ht="15.75" customHeight="1">
      <c r="A76" s="25"/>
      <c r="B76" s="25"/>
    </row>
    <row r="77" ht="15.75" customHeight="1">
      <c r="A77" s="25"/>
      <c r="B77" s="25"/>
    </row>
    <row r="78" ht="15.75" customHeight="1">
      <c r="A78" s="25"/>
      <c r="B78" s="25"/>
    </row>
    <row r="79" ht="15.75" customHeight="1">
      <c r="A79" s="25"/>
      <c r="B79" s="25"/>
    </row>
    <row r="80" ht="15.75" customHeight="1">
      <c r="A80" s="25"/>
      <c r="B80" s="25"/>
    </row>
    <row r="81" ht="15.75" customHeight="1">
      <c r="A81" s="25"/>
      <c r="B81" s="25"/>
    </row>
    <row r="82" ht="15.75" customHeight="1">
      <c r="A82" s="25"/>
      <c r="B82" s="25"/>
    </row>
    <row r="83" ht="15.75" customHeight="1">
      <c r="A83" s="25"/>
      <c r="B83" s="25"/>
    </row>
    <row r="84" ht="15.75" customHeight="1">
      <c r="A84" s="25"/>
      <c r="B84" s="25"/>
    </row>
    <row r="85" ht="15.75" customHeight="1">
      <c r="A85" s="25"/>
      <c r="B85" s="25"/>
    </row>
    <row r="86" ht="15.75" customHeight="1">
      <c r="A86" s="25"/>
      <c r="B86" s="25"/>
    </row>
    <row r="87" ht="15.75" customHeight="1">
      <c r="A87" s="25"/>
      <c r="B87" s="25"/>
    </row>
    <row r="88" ht="15.75" customHeight="1">
      <c r="A88" s="25"/>
      <c r="B88" s="25"/>
    </row>
    <row r="89" ht="15.75" customHeight="1">
      <c r="A89" s="25"/>
      <c r="B89" s="25"/>
    </row>
    <row r="90" ht="15.75" customHeight="1">
      <c r="A90" s="25"/>
      <c r="B90" s="25"/>
    </row>
    <row r="91" ht="15.75" customHeight="1">
      <c r="A91" s="25"/>
      <c r="B91" s="25"/>
    </row>
    <row r="92" ht="15.75" customHeight="1">
      <c r="A92" s="25"/>
      <c r="B92" s="25"/>
    </row>
    <row r="93" ht="15.75" customHeight="1">
      <c r="A93" s="25"/>
      <c r="B93" s="25"/>
    </row>
    <row r="94" ht="15.75" customHeight="1">
      <c r="A94" s="25"/>
      <c r="B94" s="25"/>
    </row>
    <row r="95" ht="15.75" customHeight="1">
      <c r="A95" s="25"/>
      <c r="B95" s="25"/>
    </row>
    <row r="96" ht="15.75" customHeight="1">
      <c r="A96" s="25"/>
      <c r="B96" s="25"/>
    </row>
    <row r="97" ht="15.75" customHeight="1">
      <c r="A97" s="25"/>
      <c r="B97" s="25"/>
    </row>
    <row r="98" ht="15.75" customHeight="1">
      <c r="A98" s="25"/>
      <c r="B98" s="25"/>
    </row>
    <row r="99" ht="15.75" customHeight="1">
      <c r="A99" s="25"/>
      <c r="B99" s="25"/>
    </row>
    <row r="100" ht="15.75" customHeight="1">
      <c r="A100" s="25"/>
      <c r="B100" s="25"/>
    </row>
    <row r="101" ht="15.75" customHeight="1">
      <c r="A101" s="25"/>
      <c r="B101" s="25"/>
    </row>
    <row r="102" ht="15.75" customHeight="1">
      <c r="A102" s="25"/>
      <c r="B102" s="25"/>
    </row>
    <row r="103" ht="15.75" customHeight="1">
      <c r="A103" s="25"/>
      <c r="B103" s="25"/>
    </row>
    <row r="104" ht="15.75" customHeight="1">
      <c r="A104" s="25"/>
      <c r="B104" s="25"/>
    </row>
    <row r="105" ht="15.75" customHeight="1">
      <c r="A105" s="25"/>
      <c r="B105" s="25"/>
    </row>
    <row r="106" ht="15.75" customHeight="1">
      <c r="A106" s="25"/>
      <c r="B106" s="25"/>
    </row>
    <row r="107" ht="15.75" customHeight="1">
      <c r="A107" s="25"/>
      <c r="B107" s="25"/>
    </row>
    <row r="108" ht="15.75" customHeight="1">
      <c r="A108" s="25"/>
      <c r="B108" s="25"/>
    </row>
    <row r="109" ht="15.75" customHeight="1">
      <c r="A109" s="25"/>
      <c r="B109" s="25"/>
    </row>
    <row r="110" ht="15.75" customHeight="1">
      <c r="A110" s="25"/>
      <c r="B110" s="25"/>
    </row>
    <row r="111" ht="15.75" customHeight="1">
      <c r="A111" s="25"/>
      <c r="B111" s="25"/>
    </row>
    <row r="112" ht="15.75" customHeight="1">
      <c r="A112" s="25"/>
      <c r="B112" s="25"/>
    </row>
    <row r="113" ht="15.75" customHeight="1">
      <c r="A113" s="25"/>
      <c r="B113" s="25"/>
    </row>
    <row r="114" ht="15.75" customHeight="1">
      <c r="A114" s="25"/>
      <c r="B114" s="25"/>
    </row>
    <row r="115" ht="15.75" customHeight="1">
      <c r="A115" s="25"/>
      <c r="B115" s="25"/>
    </row>
    <row r="116" ht="15.75" customHeight="1">
      <c r="A116" s="25"/>
      <c r="B116" s="25"/>
    </row>
    <row r="117" ht="15.75" customHeight="1">
      <c r="A117" s="25"/>
      <c r="B117" s="25"/>
    </row>
    <row r="118" ht="15.75" customHeight="1">
      <c r="A118" s="25"/>
      <c r="B118" s="25"/>
    </row>
    <row r="119" ht="15.75" customHeight="1">
      <c r="A119" s="25"/>
      <c r="B119" s="25"/>
    </row>
    <row r="120" ht="15.75" customHeight="1">
      <c r="A120" s="25"/>
      <c r="B120" s="25"/>
    </row>
    <row r="121" ht="15.75" customHeight="1">
      <c r="A121" s="25"/>
      <c r="B121" s="25"/>
    </row>
    <row r="122" ht="15.75" customHeight="1">
      <c r="A122" s="25"/>
      <c r="B122" s="25"/>
    </row>
    <row r="123" ht="15.75" customHeight="1">
      <c r="A123" s="25"/>
      <c r="B123" s="25"/>
    </row>
    <row r="124" ht="15.75" customHeight="1">
      <c r="A124" s="25"/>
      <c r="B124" s="25"/>
    </row>
    <row r="125" ht="15.75" customHeight="1">
      <c r="A125" s="25"/>
      <c r="B125" s="25"/>
    </row>
    <row r="126" ht="15.75" customHeight="1">
      <c r="A126" s="25"/>
      <c r="B126" s="25"/>
    </row>
    <row r="127" ht="15.75" customHeight="1">
      <c r="A127" s="25"/>
      <c r="B127" s="25"/>
    </row>
    <row r="128" ht="15.75" customHeight="1">
      <c r="A128" s="25"/>
      <c r="B128" s="25"/>
    </row>
    <row r="129" ht="15.75" customHeight="1">
      <c r="A129" s="25"/>
      <c r="B129" s="25"/>
    </row>
    <row r="130" ht="15.75" customHeight="1">
      <c r="A130" s="25"/>
      <c r="B130" s="25"/>
    </row>
    <row r="131" ht="15.75" customHeight="1">
      <c r="A131" s="25"/>
      <c r="B131" s="25"/>
    </row>
    <row r="132" ht="15.75" customHeight="1">
      <c r="A132" s="25"/>
      <c r="B132" s="25"/>
    </row>
    <row r="133" ht="15.75" customHeight="1">
      <c r="A133" s="25"/>
      <c r="B133" s="25"/>
    </row>
    <row r="134" ht="15.75" customHeight="1">
      <c r="A134" s="25"/>
      <c r="B134" s="25"/>
    </row>
    <row r="135" ht="15.75" customHeight="1">
      <c r="A135" s="25"/>
      <c r="B135" s="25"/>
    </row>
    <row r="136" ht="15.75" customHeight="1">
      <c r="A136" s="25"/>
      <c r="B136" s="25"/>
    </row>
    <row r="137" ht="15.75" customHeight="1">
      <c r="A137" s="25"/>
      <c r="B137" s="25"/>
    </row>
    <row r="138" ht="15.75" customHeight="1">
      <c r="A138" s="25"/>
      <c r="B138" s="25"/>
    </row>
    <row r="139" ht="15.75" customHeight="1">
      <c r="A139" s="25"/>
      <c r="B139" s="25"/>
    </row>
    <row r="140" ht="15.75" customHeight="1">
      <c r="A140" s="25"/>
      <c r="B140" s="25"/>
    </row>
    <row r="141" ht="15.75" customHeight="1">
      <c r="A141" s="25"/>
      <c r="B141" s="25"/>
    </row>
    <row r="142" ht="15.75" customHeight="1">
      <c r="A142" s="25"/>
      <c r="B142" s="25"/>
    </row>
    <row r="143" ht="15.75" customHeight="1">
      <c r="A143" s="25"/>
      <c r="B143" s="25"/>
    </row>
    <row r="144" ht="15.75" customHeight="1">
      <c r="A144" s="25"/>
      <c r="B144" s="25"/>
    </row>
    <row r="145" ht="15.75" customHeight="1">
      <c r="A145" s="25"/>
      <c r="B145" s="25"/>
    </row>
    <row r="146" ht="15.75" customHeight="1">
      <c r="A146" s="25"/>
      <c r="B146" s="25"/>
    </row>
    <row r="147" ht="15.75" customHeight="1">
      <c r="A147" s="25"/>
      <c r="B147" s="25"/>
    </row>
    <row r="148" ht="15.75" customHeight="1">
      <c r="A148" s="25"/>
      <c r="B148" s="25"/>
    </row>
    <row r="149" ht="15.75" customHeight="1">
      <c r="A149" s="25"/>
      <c r="B149" s="25"/>
    </row>
    <row r="150" ht="15.75" customHeight="1">
      <c r="A150" s="25"/>
      <c r="B150" s="25"/>
    </row>
    <row r="151" ht="15.75" customHeight="1">
      <c r="A151" s="25"/>
      <c r="B151" s="25"/>
    </row>
    <row r="152" ht="15.75" customHeight="1">
      <c r="A152" s="25"/>
      <c r="B152" s="25"/>
    </row>
    <row r="153" ht="15.75" customHeight="1">
      <c r="A153" s="25"/>
      <c r="B153" s="25"/>
    </row>
    <row r="154" ht="15.75" customHeight="1">
      <c r="A154" s="25"/>
      <c r="B154" s="25"/>
    </row>
    <row r="155" ht="15.75" customHeight="1">
      <c r="A155" s="25"/>
      <c r="B155" s="25"/>
    </row>
    <row r="156" ht="15.75" customHeight="1">
      <c r="A156" s="25"/>
      <c r="B156" s="25"/>
    </row>
    <row r="157" ht="15.75" customHeight="1">
      <c r="A157" s="25"/>
      <c r="B157" s="25"/>
    </row>
    <row r="158" ht="15.75" customHeight="1">
      <c r="A158" s="25"/>
      <c r="B158" s="25"/>
    </row>
    <row r="159" ht="15.75" customHeight="1">
      <c r="A159" s="25"/>
      <c r="B159" s="25"/>
    </row>
    <row r="160" ht="15.75" customHeight="1">
      <c r="A160" s="25"/>
      <c r="B160" s="25"/>
    </row>
    <row r="161" ht="15.75" customHeight="1">
      <c r="A161" s="25"/>
      <c r="B161" s="25"/>
    </row>
    <row r="162" ht="15.75" customHeight="1">
      <c r="A162" s="25"/>
      <c r="B162" s="25"/>
    </row>
    <row r="163" ht="15.75" customHeight="1">
      <c r="A163" s="25"/>
      <c r="B163" s="25"/>
    </row>
    <row r="164" ht="15.75" customHeight="1">
      <c r="A164" s="25"/>
      <c r="B164" s="25"/>
    </row>
    <row r="165" ht="15.75" customHeight="1">
      <c r="A165" s="25"/>
      <c r="B165" s="25"/>
    </row>
    <row r="166" ht="15.75" customHeight="1">
      <c r="A166" s="25"/>
      <c r="B166" s="25"/>
    </row>
    <row r="167" ht="15.75" customHeight="1">
      <c r="A167" s="25"/>
      <c r="B167" s="25"/>
    </row>
    <row r="168" ht="15.75" customHeight="1">
      <c r="A168" s="25"/>
      <c r="B168" s="25"/>
    </row>
    <row r="169" ht="15.75" customHeight="1">
      <c r="A169" s="25"/>
      <c r="B169" s="25"/>
    </row>
    <row r="170" ht="15.75" customHeight="1">
      <c r="A170" s="25"/>
      <c r="B170" s="25"/>
    </row>
    <row r="171" ht="15.75" customHeight="1">
      <c r="A171" s="25"/>
      <c r="B171" s="25"/>
    </row>
    <row r="172" ht="15.75" customHeight="1">
      <c r="A172" s="25"/>
      <c r="B172" s="25"/>
    </row>
    <row r="173" ht="15.75" customHeight="1">
      <c r="A173" s="25"/>
      <c r="B173" s="25"/>
    </row>
    <row r="174" ht="15.75" customHeight="1">
      <c r="A174" s="25"/>
      <c r="B174" s="25"/>
    </row>
    <row r="175" ht="15.75" customHeight="1">
      <c r="A175" s="25"/>
      <c r="B175" s="25"/>
    </row>
    <row r="176" ht="15.75" customHeight="1">
      <c r="A176" s="25"/>
      <c r="B176" s="25"/>
    </row>
    <row r="177" ht="15.75" customHeight="1">
      <c r="A177" s="25"/>
      <c r="B177" s="25"/>
    </row>
    <row r="178" ht="15.75" customHeight="1">
      <c r="A178" s="25"/>
      <c r="B178" s="25"/>
    </row>
    <row r="179" ht="15.75" customHeight="1">
      <c r="A179" s="25"/>
      <c r="B179" s="25"/>
    </row>
    <row r="180" ht="15.75" customHeight="1">
      <c r="A180" s="25"/>
      <c r="B180" s="25"/>
    </row>
    <row r="181" ht="15.75" customHeight="1">
      <c r="A181" s="25"/>
      <c r="B181" s="25"/>
    </row>
    <row r="182" ht="15.75" customHeight="1">
      <c r="A182" s="25"/>
      <c r="B182" s="25"/>
    </row>
    <row r="183" ht="15.75" customHeight="1">
      <c r="A183" s="25"/>
      <c r="B183" s="25"/>
    </row>
    <row r="184" ht="15.75" customHeight="1">
      <c r="A184" s="25"/>
      <c r="B184" s="25"/>
    </row>
    <row r="185" ht="15.75" customHeight="1">
      <c r="A185" s="25"/>
      <c r="B185" s="25"/>
    </row>
    <row r="186" ht="15.75" customHeight="1">
      <c r="A186" s="25"/>
      <c r="B186" s="25"/>
    </row>
    <row r="187" ht="15.75" customHeight="1">
      <c r="A187" s="25"/>
      <c r="B187" s="25"/>
    </row>
    <row r="188" ht="15.75" customHeight="1">
      <c r="A188" s="25"/>
      <c r="B188" s="25"/>
    </row>
    <row r="189" ht="15.75" customHeight="1">
      <c r="A189" s="25"/>
      <c r="B189" s="25"/>
    </row>
    <row r="190" ht="15.75" customHeight="1">
      <c r="A190" s="25"/>
      <c r="B190" s="25"/>
    </row>
    <row r="191" ht="15.75" customHeight="1">
      <c r="A191" s="25"/>
      <c r="B191" s="25"/>
    </row>
    <row r="192" ht="15.75" customHeight="1">
      <c r="A192" s="25"/>
      <c r="B192" s="25"/>
    </row>
    <row r="193" ht="15.75" customHeight="1">
      <c r="A193" s="25"/>
      <c r="B193" s="25"/>
    </row>
    <row r="194" ht="15.75" customHeight="1">
      <c r="A194" s="25"/>
      <c r="B194" s="25"/>
    </row>
    <row r="195" ht="15.75" customHeight="1">
      <c r="A195" s="25"/>
      <c r="B195" s="25"/>
    </row>
    <row r="196" ht="15.75" customHeight="1">
      <c r="A196" s="25"/>
      <c r="B196" s="25"/>
    </row>
    <row r="197" ht="15.75" customHeight="1">
      <c r="A197" s="25"/>
      <c r="B197" s="25"/>
    </row>
    <row r="198" ht="15.75" customHeight="1">
      <c r="A198" s="25"/>
      <c r="B198" s="25"/>
    </row>
    <row r="199" ht="15.75" customHeight="1">
      <c r="A199" s="25"/>
      <c r="B199" s="25"/>
    </row>
    <row r="200" ht="15.75" customHeight="1">
      <c r="A200" s="25"/>
      <c r="B200" s="2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2:A200">
      <formula1>"General Conditions &amp; Project Management,Selective Demolition,Framing,Windows &amp; Exterior Openings,Plumbing &amp; Waste Pump System,Electrical,HVAC - 3 Zone Mini Split,Insulation &amp; Air Sealing,Drywall &amp; Finishing,Suspended Ceiling System,Interior Doors,Trim &amp; H"&amp;"ardware,Flooring,Painting,Master Bathroom,Kitchen,Cleanup &amp; Closeout"</formula1>
    </dataValidation>
    <dataValidation type="list" allowBlank="1" sqref="B2:B200">
      <formula1>"Scope Gap,Change Order Risk,Credit Opportunity,Existing Conditions,Takeoff Assumption,Structural Risk,Coordination,Sequencing,Production Risk,Allowance Risk"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6.0"/>
    <col customWidth="1" min="3" max="3" width="10.0"/>
    <col customWidth="1" min="4" max="4" width="34.0"/>
    <col customWidth="1" min="5" max="5" width="28.0"/>
    <col customWidth="1" min="6" max="26" width="8.63"/>
  </cols>
  <sheetData>
    <row r="1">
      <c r="A1" s="3" t="s">
        <v>187</v>
      </c>
    </row>
    <row r="2">
      <c r="A2" s="25" t="s">
        <v>188</v>
      </c>
      <c r="B2" s="25" t="s">
        <v>189</v>
      </c>
      <c r="D2" s="25" t="s">
        <v>190</v>
      </c>
      <c r="E2" s="25" t="s">
        <v>191</v>
      </c>
    </row>
    <row r="3">
      <c r="A3" s="36" t="s">
        <v>192</v>
      </c>
      <c r="B3" s="36" t="s">
        <v>193</v>
      </c>
      <c r="C3" s="25" t="s">
        <v>194</v>
      </c>
      <c r="D3" s="36" t="s">
        <v>195</v>
      </c>
      <c r="E3" s="36" t="s">
        <v>196</v>
      </c>
    </row>
    <row r="4">
      <c r="A4" s="4" t="s">
        <v>197</v>
      </c>
      <c r="B4" s="4" t="s">
        <v>198</v>
      </c>
      <c r="C4" s="25" t="s">
        <v>199</v>
      </c>
      <c r="D4" s="4" t="s">
        <v>195</v>
      </c>
      <c r="E4" s="4" t="s">
        <v>200</v>
      </c>
    </row>
    <row r="5">
      <c r="A5" s="4" t="s">
        <v>201</v>
      </c>
      <c r="B5" s="4" t="s">
        <v>202</v>
      </c>
      <c r="C5" s="25" t="s">
        <v>203</v>
      </c>
      <c r="D5" s="4" t="s">
        <v>204</v>
      </c>
      <c r="E5" s="4" t="s">
        <v>205</v>
      </c>
    </row>
    <row r="6">
      <c r="A6" s="4" t="s">
        <v>206</v>
      </c>
      <c r="B6" s="4" t="s">
        <v>207</v>
      </c>
      <c r="C6" s="25" t="s">
        <v>203</v>
      </c>
      <c r="D6" s="4" t="s">
        <v>204</v>
      </c>
      <c r="E6" s="4" t="s">
        <v>208</v>
      </c>
    </row>
    <row r="7">
      <c r="A7" s="4" t="s">
        <v>209</v>
      </c>
      <c r="B7" s="4" t="s">
        <v>211</v>
      </c>
      <c r="C7" s="25" t="s">
        <v>194</v>
      </c>
      <c r="D7" s="4" t="s">
        <v>212</v>
      </c>
      <c r="E7" s="4" t="s">
        <v>213</v>
      </c>
    </row>
    <row r="8">
      <c r="A8" s="4" t="s">
        <v>214</v>
      </c>
      <c r="B8" s="4" t="s">
        <v>215</v>
      </c>
      <c r="C8" s="25" t="s">
        <v>203</v>
      </c>
      <c r="D8" s="4" t="s">
        <v>218</v>
      </c>
      <c r="E8" s="4" t="s">
        <v>219</v>
      </c>
    </row>
    <row r="9">
      <c r="A9" s="4" t="s">
        <v>220</v>
      </c>
      <c r="B9" s="4" t="s">
        <v>221</v>
      </c>
      <c r="C9" s="25" t="s">
        <v>74</v>
      </c>
      <c r="D9" s="4" t="s">
        <v>223</v>
      </c>
      <c r="E9" s="4" t="s">
        <v>225</v>
      </c>
    </row>
    <row r="10">
      <c r="A10" s="4" t="s">
        <v>226</v>
      </c>
      <c r="B10" s="4" t="s">
        <v>228</v>
      </c>
      <c r="C10" s="25" t="s">
        <v>74</v>
      </c>
      <c r="D10" s="4" t="s">
        <v>230</v>
      </c>
      <c r="E10" s="4" t="s">
        <v>231</v>
      </c>
    </row>
    <row r="11">
      <c r="A11" s="4" t="s">
        <v>234</v>
      </c>
      <c r="B11" s="4" t="s">
        <v>236</v>
      </c>
      <c r="C11" s="25" t="s">
        <v>74</v>
      </c>
      <c r="D11" s="4" t="s">
        <v>223</v>
      </c>
      <c r="E11" s="4" t="s">
        <v>231</v>
      </c>
    </row>
    <row r="12">
      <c r="A12" s="4" t="s">
        <v>241</v>
      </c>
      <c r="B12" s="4" t="s">
        <v>242</v>
      </c>
      <c r="C12" s="25" t="s">
        <v>74</v>
      </c>
      <c r="D12" s="25" t="s">
        <v>230</v>
      </c>
      <c r="E12" s="25" t="s">
        <v>231</v>
      </c>
    </row>
    <row r="13">
      <c r="A13" s="4" t="s">
        <v>246</v>
      </c>
      <c r="B13" s="4" t="s">
        <v>248</v>
      </c>
      <c r="C13" s="25" t="s">
        <v>194</v>
      </c>
      <c r="D13" s="25" t="s">
        <v>249</v>
      </c>
      <c r="E13" s="25" t="s">
        <v>250</v>
      </c>
    </row>
    <row r="14">
      <c r="A14" s="4" t="s">
        <v>251</v>
      </c>
      <c r="B14" s="4" t="s">
        <v>252</v>
      </c>
      <c r="D14" s="25" t="s">
        <v>253</v>
      </c>
      <c r="E14" s="25" t="s">
        <v>254</v>
      </c>
    </row>
    <row r="15">
      <c r="A15" s="4" t="s">
        <v>255</v>
      </c>
      <c r="B15" s="4" t="s">
        <v>256</v>
      </c>
      <c r="D15" s="25" t="s">
        <v>257</v>
      </c>
      <c r="E15" s="25" t="s">
        <v>258</v>
      </c>
    </row>
    <row r="16">
      <c r="A16" s="4"/>
      <c r="B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99.38"/>
    <col customWidth="1" min="3" max="3" width="103.13"/>
    <col customWidth="1" min="4" max="4" width="12.75"/>
    <col customWidth="1" min="5" max="26" width="8.63"/>
  </cols>
  <sheetData>
    <row r="1" ht="16.5" customHeight="1">
      <c r="A1" s="6" t="s">
        <v>210</v>
      </c>
      <c r="B1" s="6"/>
      <c r="C1" s="6"/>
      <c r="D1" s="6"/>
    </row>
    <row r="2" ht="16.5" customHeight="1">
      <c r="A2" s="6" t="s">
        <v>17</v>
      </c>
      <c r="B2" s="6" t="s">
        <v>216</v>
      </c>
      <c r="C2" s="6" t="s">
        <v>217</v>
      </c>
      <c r="D2" s="6" t="s">
        <v>44</v>
      </c>
    </row>
    <row r="3" ht="16.5" customHeight="1">
      <c r="A3" s="4" t="s">
        <v>71</v>
      </c>
      <c r="B3" s="28">
        <v>33.95</v>
      </c>
      <c r="C3" s="4" t="s">
        <v>222</v>
      </c>
      <c r="D3" s="4" t="s">
        <v>224</v>
      </c>
    </row>
    <row r="4" ht="16.5" customHeight="1">
      <c r="A4" s="4" t="s">
        <v>64</v>
      </c>
      <c r="B4" s="28">
        <v>39.0</v>
      </c>
      <c r="C4" s="4" t="s">
        <v>227</v>
      </c>
      <c r="D4" s="4" t="s">
        <v>229</v>
      </c>
    </row>
    <row r="5" ht="16.5" customHeight="1">
      <c r="A5" s="4" t="s">
        <v>146</v>
      </c>
      <c r="B5" s="28">
        <v>39.0</v>
      </c>
      <c r="C5" s="4" t="s">
        <v>232</v>
      </c>
      <c r="D5" s="4" t="s">
        <v>233</v>
      </c>
    </row>
    <row r="6" ht="16.5" customHeight="1">
      <c r="A6" s="4" t="s">
        <v>235</v>
      </c>
      <c r="B6" s="28">
        <v>33.92</v>
      </c>
      <c r="C6" s="4" t="s">
        <v>237</v>
      </c>
      <c r="D6" s="4" t="s">
        <v>238</v>
      </c>
    </row>
    <row r="7" ht="16.5" customHeight="1">
      <c r="A7" s="4" t="s">
        <v>22</v>
      </c>
      <c r="B7" s="28">
        <v>47.87</v>
      </c>
      <c r="C7" s="4" t="s">
        <v>239</v>
      </c>
      <c r="D7" s="4" t="s">
        <v>240</v>
      </c>
    </row>
    <row r="8" ht="16.5" customHeight="1">
      <c r="A8" s="4"/>
      <c r="B8" s="4"/>
      <c r="C8" s="4"/>
      <c r="D8" s="4"/>
    </row>
    <row r="9" ht="16.5" customHeight="1">
      <c r="A9" s="6" t="s">
        <v>243</v>
      </c>
      <c r="B9" s="6" t="s">
        <v>244</v>
      </c>
      <c r="C9" s="4"/>
      <c r="D9" s="4"/>
    </row>
    <row r="10" ht="16.5" customHeight="1">
      <c r="A10" s="6" t="s">
        <v>245</v>
      </c>
      <c r="B10" s="6" t="s">
        <v>247</v>
      </c>
      <c r="C10" s="4"/>
      <c r="D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95.0"/>
    <col customWidth="1" min="3" max="4" width="12.0"/>
    <col customWidth="1" min="5" max="26" width="8.63"/>
  </cols>
  <sheetData>
    <row r="1">
      <c r="A1" s="37" t="s">
        <v>259</v>
      </c>
    </row>
    <row r="2">
      <c r="A2" s="25" t="s">
        <v>260</v>
      </c>
      <c r="B2" s="25" t="s">
        <v>261</v>
      </c>
    </row>
    <row r="3">
      <c r="A3" s="25" t="s">
        <v>262</v>
      </c>
      <c r="B3" s="25" t="s">
        <v>263</v>
      </c>
    </row>
    <row r="4">
      <c r="A4" s="25" t="s">
        <v>264</v>
      </c>
      <c r="B4" s="25" t="s">
        <v>265</v>
      </c>
    </row>
    <row r="5">
      <c r="A5" s="25" t="s">
        <v>266</v>
      </c>
      <c r="B5" s="25" t="s">
        <v>267</v>
      </c>
    </row>
    <row r="6">
      <c r="A6" s="25" t="s">
        <v>268</v>
      </c>
      <c r="B6" s="25" t="s">
        <v>269</v>
      </c>
    </row>
    <row r="7">
      <c r="A7" s="25" t="s">
        <v>270</v>
      </c>
      <c r="B7" s="25" t="s">
        <v>271</v>
      </c>
    </row>
    <row r="8">
      <c r="A8" s="25" t="s">
        <v>272</v>
      </c>
      <c r="B8" s="25" t="s">
        <v>273</v>
      </c>
    </row>
    <row r="9">
      <c r="A9" s="38" t="s">
        <v>274</v>
      </c>
      <c r="B9" s="39" t="s">
        <v>275</v>
      </c>
    </row>
    <row r="10">
      <c r="A10" s="38" t="s">
        <v>276</v>
      </c>
      <c r="B10" s="39" t="s">
        <v>277</v>
      </c>
    </row>
    <row r="12">
      <c r="A12" s="25" t="s">
        <v>278</v>
      </c>
      <c r="B12" s="25" t="s">
        <v>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0.0"/>
    <col customWidth="1" min="3" max="3" width="24.0"/>
    <col customWidth="1" min="4" max="4" width="12.0"/>
    <col customWidth="1" min="5" max="5" width="10.0"/>
    <col customWidth="1" min="6" max="26" width="8.63"/>
  </cols>
  <sheetData>
    <row r="1">
      <c r="A1" s="40" t="s">
        <v>280</v>
      </c>
      <c r="B1" s="40" t="s">
        <v>282</v>
      </c>
      <c r="C1" s="40" t="s">
        <v>283</v>
      </c>
      <c r="D1" s="40" t="s">
        <v>285</v>
      </c>
      <c r="E1" s="40" t="s">
        <v>287</v>
      </c>
    </row>
    <row r="2">
      <c r="A2" s="25" t="s">
        <v>288</v>
      </c>
      <c r="B2" s="25" t="s">
        <v>71</v>
      </c>
      <c r="C2" s="25" t="s">
        <v>291</v>
      </c>
      <c r="D2" s="25" t="s">
        <v>74</v>
      </c>
      <c r="E2" s="25" t="s">
        <v>289</v>
      </c>
    </row>
    <row r="3">
      <c r="A3" s="25" t="s">
        <v>292</v>
      </c>
      <c r="B3" s="25" t="s">
        <v>64</v>
      </c>
      <c r="C3" s="25" t="s">
        <v>296</v>
      </c>
      <c r="D3" s="25" t="s">
        <v>298</v>
      </c>
      <c r="E3" s="25" t="s">
        <v>299</v>
      </c>
    </row>
    <row r="4">
      <c r="A4" s="25" t="s">
        <v>294</v>
      </c>
      <c r="B4" s="25" t="s">
        <v>146</v>
      </c>
      <c r="C4" s="25" t="s">
        <v>300</v>
      </c>
      <c r="D4" s="25" t="s">
        <v>124</v>
      </c>
    </row>
    <row r="5">
      <c r="A5" s="25" t="s">
        <v>297</v>
      </c>
      <c r="B5" s="25" t="s">
        <v>235</v>
      </c>
      <c r="C5" s="25" t="s">
        <v>302</v>
      </c>
      <c r="D5" s="25" t="s">
        <v>82</v>
      </c>
    </row>
    <row r="6">
      <c r="A6" s="25" t="s">
        <v>303</v>
      </c>
      <c r="B6" s="25" t="s">
        <v>22</v>
      </c>
      <c r="C6" s="25" t="s">
        <v>305</v>
      </c>
      <c r="D6" s="25" t="s">
        <v>24</v>
      </c>
    </row>
    <row r="7">
      <c r="A7" s="25" t="s">
        <v>306</v>
      </c>
      <c r="C7" s="25" t="s">
        <v>308</v>
      </c>
      <c r="D7" s="25" t="s">
        <v>309</v>
      </c>
    </row>
    <row r="8">
      <c r="A8" s="25" t="s">
        <v>310</v>
      </c>
      <c r="C8" s="25" t="s">
        <v>165</v>
      </c>
      <c r="D8" s="25" t="s">
        <v>311</v>
      </c>
    </row>
    <row r="9">
      <c r="A9" s="25" t="s">
        <v>313</v>
      </c>
      <c r="C9" s="25" t="s">
        <v>314</v>
      </c>
      <c r="D9" s="25" t="s">
        <v>315</v>
      </c>
    </row>
    <row r="10">
      <c r="A10" s="25" t="s">
        <v>317</v>
      </c>
      <c r="C10" s="25" t="s">
        <v>318</v>
      </c>
      <c r="D10" s="25" t="s">
        <v>319</v>
      </c>
    </row>
    <row r="11">
      <c r="A11" s="25" t="s">
        <v>321</v>
      </c>
      <c r="C11" s="25" t="s">
        <v>322</v>
      </c>
      <c r="D11" s="25" t="s">
        <v>323</v>
      </c>
    </row>
    <row r="12">
      <c r="A12" s="25" t="s">
        <v>325</v>
      </c>
      <c r="D12" s="25" t="s">
        <v>326</v>
      </c>
    </row>
    <row r="13">
      <c r="A13" s="25" t="s">
        <v>327</v>
      </c>
      <c r="D13" s="25" t="s">
        <v>39</v>
      </c>
    </row>
    <row r="14">
      <c r="A14" s="25" t="s">
        <v>329</v>
      </c>
      <c r="D14" s="25" t="s">
        <v>331</v>
      </c>
    </row>
    <row r="15">
      <c r="A15" s="25" t="s">
        <v>332</v>
      </c>
      <c r="D15" s="25" t="s">
        <v>89</v>
      </c>
    </row>
    <row r="16">
      <c r="A16" s="25" t="s">
        <v>334</v>
      </c>
      <c r="D16" s="25" t="s">
        <v>335</v>
      </c>
    </row>
    <row r="17">
      <c r="A17" s="25" t="s">
        <v>337</v>
      </c>
      <c r="D17" s="25" t="s">
        <v>338</v>
      </c>
    </row>
    <row r="18">
      <c r="A18" s="25" t="s">
        <v>339</v>
      </c>
      <c r="D18" s="25" t="s">
        <v>341</v>
      </c>
    </row>
    <row r="19">
      <c r="A19" s="25" t="s">
        <v>342</v>
      </c>
      <c r="D19" s="25" t="s">
        <v>343</v>
      </c>
    </row>
    <row r="20">
      <c r="A20" s="25" t="s">
        <v>345</v>
      </c>
      <c r="D20" s="25" t="s">
        <v>346</v>
      </c>
    </row>
    <row r="21" ht="15.75" customHeight="1">
      <c r="A21" s="25" t="s">
        <v>348</v>
      </c>
      <c r="D21" s="25" t="s">
        <v>349</v>
      </c>
    </row>
    <row r="22" ht="15.75" customHeight="1">
      <c r="A22" s="25" t="s">
        <v>351</v>
      </c>
      <c r="D22" s="25" t="s">
        <v>352</v>
      </c>
    </row>
    <row r="23" ht="15.75" customHeight="1">
      <c r="A23" s="25" t="s">
        <v>354</v>
      </c>
    </row>
    <row r="24" ht="15.75" customHeight="1">
      <c r="A24" s="25" t="s">
        <v>355</v>
      </c>
    </row>
    <row r="25" ht="15.75" customHeight="1">
      <c r="A25" s="25" t="s">
        <v>356</v>
      </c>
    </row>
    <row r="26" ht="15.75" customHeight="1">
      <c r="A26" s="25" t="s">
        <v>358</v>
      </c>
    </row>
    <row r="27" ht="15.75" customHeight="1">
      <c r="A27" s="25" t="s">
        <v>360</v>
      </c>
    </row>
    <row r="28" ht="15.75" customHeight="1">
      <c r="A28" s="25" t="s">
        <v>361</v>
      </c>
    </row>
    <row r="29" ht="15.75" customHeight="1">
      <c r="A29" s="25" t="s">
        <v>363</v>
      </c>
    </row>
    <row r="30" ht="15.75" customHeight="1">
      <c r="A30" s="25" t="s">
        <v>364</v>
      </c>
    </row>
    <row r="31" ht="15.75" customHeight="1">
      <c r="A31" s="25" t="s">
        <v>337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4.0"/>
    <col customWidth="1" min="3" max="3" width="60.0"/>
    <col customWidth="1" min="4" max="26" width="8.63"/>
  </cols>
  <sheetData>
    <row r="1">
      <c r="A1" s="40" t="s">
        <v>281</v>
      </c>
      <c r="B1" s="40" t="s">
        <v>284</v>
      </c>
      <c r="C1" s="40" t="s">
        <v>286</v>
      </c>
    </row>
    <row r="2">
      <c r="A2" s="25" t="s">
        <v>288</v>
      </c>
      <c r="B2" s="25" t="s">
        <v>289</v>
      </c>
      <c r="C2" s="25" t="s">
        <v>290</v>
      </c>
    </row>
    <row r="3">
      <c r="A3" s="25" t="s">
        <v>292</v>
      </c>
      <c r="B3" s="25" t="s">
        <v>289</v>
      </c>
      <c r="C3" s="25" t="s">
        <v>293</v>
      </c>
    </row>
    <row r="4">
      <c r="A4" s="25" t="s">
        <v>294</v>
      </c>
      <c r="B4" s="25" t="s">
        <v>289</v>
      </c>
      <c r="C4" s="25" t="s">
        <v>295</v>
      </c>
    </row>
    <row r="5">
      <c r="A5" s="25" t="s">
        <v>297</v>
      </c>
      <c r="B5" s="25" t="s">
        <v>289</v>
      </c>
      <c r="C5" s="25" t="s">
        <v>301</v>
      </c>
    </row>
    <row r="6">
      <c r="A6" s="25" t="s">
        <v>303</v>
      </c>
      <c r="B6" s="25" t="s">
        <v>289</v>
      </c>
      <c r="C6" s="25" t="s">
        <v>304</v>
      </c>
    </row>
    <row r="7">
      <c r="A7" s="25" t="s">
        <v>306</v>
      </c>
      <c r="B7" s="25" t="s">
        <v>289</v>
      </c>
      <c r="C7" s="25" t="s">
        <v>307</v>
      </c>
    </row>
    <row r="8">
      <c r="A8" s="25" t="s">
        <v>310</v>
      </c>
      <c r="B8" s="25" t="s">
        <v>289</v>
      </c>
      <c r="C8" s="25" t="s">
        <v>312</v>
      </c>
    </row>
    <row r="9">
      <c r="A9" s="25" t="s">
        <v>313</v>
      </c>
      <c r="B9" s="25" t="s">
        <v>289</v>
      </c>
      <c r="C9" s="25" t="s">
        <v>316</v>
      </c>
    </row>
    <row r="10">
      <c r="A10" s="25" t="s">
        <v>317</v>
      </c>
      <c r="B10" s="25" t="s">
        <v>289</v>
      </c>
      <c r="C10" s="25" t="s">
        <v>320</v>
      </c>
    </row>
    <row r="11">
      <c r="A11" s="25" t="s">
        <v>321</v>
      </c>
      <c r="B11" s="25" t="s">
        <v>289</v>
      </c>
      <c r="C11" s="25" t="s">
        <v>324</v>
      </c>
    </row>
    <row r="12">
      <c r="A12" s="25" t="s">
        <v>325</v>
      </c>
      <c r="B12" s="25" t="s">
        <v>289</v>
      </c>
      <c r="C12" s="25" t="s">
        <v>328</v>
      </c>
    </row>
    <row r="13">
      <c r="A13" s="25" t="s">
        <v>327</v>
      </c>
      <c r="B13" s="25" t="s">
        <v>289</v>
      </c>
      <c r="C13" s="25" t="s">
        <v>330</v>
      </c>
    </row>
    <row r="14">
      <c r="A14" s="25" t="s">
        <v>329</v>
      </c>
      <c r="B14" s="25" t="s">
        <v>289</v>
      </c>
      <c r="C14" s="25" t="s">
        <v>333</v>
      </c>
    </row>
    <row r="15">
      <c r="A15" s="25" t="s">
        <v>332</v>
      </c>
      <c r="B15" s="25" t="s">
        <v>289</v>
      </c>
      <c r="C15" s="25" t="s">
        <v>336</v>
      </c>
    </row>
    <row r="16">
      <c r="A16" s="25" t="s">
        <v>334</v>
      </c>
      <c r="B16" s="25" t="s">
        <v>289</v>
      </c>
      <c r="C16" s="25" t="s">
        <v>340</v>
      </c>
    </row>
    <row r="17">
      <c r="A17" s="25" t="s">
        <v>337</v>
      </c>
      <c r="B17" s="25" t="s">
        <v>289</v>
      </c>
      <c r="C17" s="25" t="s">
        <v>344</v>
      </c>
    </row>
    <row r="18">
      <c r="A18" s="25" t="s">
        <v>339</v>
      </c>
      <c r="B18" s="25" t="s">
        <v>289</v>
      </c>
      <c r="C18" s="25" t="s">
        <v>347</v>
      </c>
    </row>
    <row r="19">
      <c r="A19" s="25" t="s">
        <v>342</v>
      </c>
      <c r="B19" s="25" t="s">
        <v>289</v>
      </c>
      <c r="C19" s="25" t="s">
        <v>350</v>
      </c>
    </row>
    <row r="20">
      <c r="A20" s="25" t="s">
        <v>345</v>
      </c>
      <c r="B20" s="25" t="s">
        <v>289</v>
      </c>
      <c r="C20" s="25" t="s">
        <v>353</v>
      </c>
    </row>
    <row r="21" ht="15.75" customHeight="1">
      <c r="A21" s="25" t="s">
        <v>348</v>
      </c>
      <c r="B21" s="25" t="s">
        <v>289</v>
      </c>
      <c r="C21" s="25" t="s">
        <v>357</v>
      </c>
    </row>
    <row r="22" ht="15.75" customHeight="1">
      <c r="A22" s="25" t="s">
        <v>351</v>
      </c>
      <c r="B22" s="25" t="s">
        <v>289</v>
      </c>
      <c r="C22" s="25" t="s">
        <v>359</v>
      </c>
    </row>
    <row r="23" ht="15.75" customHeight="1">
      <c r="A23" s="25" t="s">
        <v>354</v>
      </c>
      <c r="B23" s="25" t="s">
        <v>289</v>
      </c>
      <c r="C23" s="25" t="s">
        <v>362</v>
      </c>
    </row>
    <row r="24" ht="15.75" customHeight="1">
      <c r="A24" s="25" t="s">
        <v>355</v>
      </c>
      <c r="B24" s="25" t="s">
        <v>289</v>
      </c>
      <c r="C24" s="25" t="s">
        <v>365</v>
      </c>
    </row>
    <row r="25" ht="15.75" customHeight="1">
      <c r="A25" s="25" t="s">
        <v>356</v>
      </c>
      <c r="B25" s="25" t="s">
        <v>289</v>
      </c>
      <c r="C25" s="25" t="s">
        <v>366</v>
      </c>
    </row>
    <row r="26" ht="15.75" customHeight="1">
      <c r="A26" s="25" t="s">
        <v>358</v>
      </c>
      <c r="B26" s="25" t="s">
        <v>289</v>
      </c>
      <c r="C26" s="25" t="s">
        <v>367</v>
      </c>
    </row>
    <row r="27" ht="15.75" customHeight="1">
      <c r="A27" s="25" t="s">
        <v>360</v>
      </c>
      <c r="B27" s="25" t="s">
        <v>289</v>
      </c>
      <c r="C27" s="25" t="s">
        <v>368</v>
      </c>
    </row>
    <row r="28" ht="15.75" customHeight="1">
      <c r="A28" s="25" t="s">
        <v>361</v>
      </c>
      <c r="B28" s="25" t="s">
        <v>289</v>
      </c>
      <c r="C28" s="25" t="s">
        <v>369</v>
      </c>
    </row>
    <row r="29" ht="15.75" customHeight="1">
      <c r="A29" s="25" t="s">
        <v>363</v>
      </c>
      <c r="B29" s="25" t="s">
        <v>289</v>
      </c>
      <c r="C29" s="25" t="s">
        <v>370</v>
      </c>
    </row>
    <row r="30" ht="15.75" customHeight="1">
      <c r="A30" s="25" t="s">
        <v>364</v>
      </c>
      <c r="B30" s="25" t="s">
        <v>289</v>
      </c>
      <c r="C30" s="25" t="s">
        <v>371</v>
      </c>
    </row>
    <row r="31" ht="15.75" customHeight="1">
      <c r="A31" s="25" t="s">
        <v>337</v>
      </c>
      <c r="B31" s="25" t="s">
        <v>289</v>
      </c>
      <c r="C31" s="25" t="s">
        <v>372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14.0"/>
    <col customWidth="1" min="4" max="4" width="16.0"/>
    <col customWidth="1" min="5" max="5" width="44.0"/>
    <col customWidth="1" min="6" max="26" width="8.63"/>
  </cols>
  <sheetData>
    <row r="1">
      <c r="A1" s="41" t="s">
        <v>373</v>
      </c>
    </row>
    <row r="2">
      <c r="A2" s="39" t="s">
        <v>374</v>
      </c>
    </row>
    <row r="4">
      <c r="A4" s="42" t="s">
        <v>375</v>
      </c>
    </row>
    <row r="5">
      <c r="A5" s="39" t="s">
        <v>376</v>
      </c>
    </row>
    <row r="7">
      <c r="A7" s="42" t="s">
        <v>377</v>
      </c>
    </row>
    <row r="8">
      <c r="A8" s="39" t="s">
        <v>378</v>
      </c>
    </row>
    <row r="9">
      <c r="A9" s="39" t="s">
        <v>379</v>
      </c>
    </row>
    <row r="10">
      <c r="A10" s="39" t="s">
        <v>380</v>
      </c>
    </row>
    <row r="11">
      <c r="A11" s="39" t="s">
        <v>381</v>
      </c>
    </row>
    <row r="12">
      <c r="A12" s="39" t="s">
        <v>382</v>
      </c>
    </row>
    <row r="13">
      <c r="A13" s="39" t="s">
        <v>383</v>
      </c>
    </row>
    <row r="14">
      <c r="A14" s="39" t="s">
        <v>384</v>
      </c>
    </row>
    <row r="16">
      <c r="A16" s="42" t="s">
        <v>385</v>
      </c>
    </row>
    <row r="17">
      <c r="A17" s="43" t="s">
        <v>386</v>
      </c>
      <c r="B17" s="43" t="s">
        <v>387</v>
      </c>
    </row>
    <row r="18">
      <c r="A18" s="39" t="s">
        <v>388</v>
      </c>
      <c r="B18" s="39" t="s">
        <v>389</v>
      </c>
    </row>
    <row r="19">
      <c r="A19" s="39" t="s">
        <v>390</v>
      </c>
      <c r="B19" s="39" t="s">
        <v>391</v>
      </c>
    </row>
    <row r="20">
      <c r="A20" s="39" t="s">
        <v>392</v>
      </c>
      <c r="B20" s="39" t="s">
        <v>393</v>
      </c>
    </row>
    <row r="21" ht="15.75" customHeight="1">
      <c r="A21" s="39" t="s">
        <v>394</v>
      </c>
      <c r="B21" s="39" t="s">
        <v>395</v>
      </c>
    </row>
    <row r="22" ht="15.75" customHeight="1">
      <c r="A22" s="39" t="s">
        <v>396</v>
      </c>
      <c r="B22" s="39" t="s">
        <v>397</v>
      </c>
    </row>
    <row r="23" ht="15.75" customHeight="1"/>
    <row r="24" ht="15.75" customHeight="1">
      <c r="A24" s="42" t="s">
        <v>398</v>
      </c>
    </row>
    <row r="25" ht="15.75" customHeight="1">
      <c r="A25" s="39" t="s">
        <v>399</v>
      </c>
    </row>
    <row r="26" ht="15.75" customHeight="1"/>
    <row r="27" ht="15.75" customHeight="1">
      <c r="A27" s="41" t="s">
        <v>400</v>
      </c>
    </row>
    <row r="28" ht="15.75" customHeight="1">
      <c r="A28" s="39" t="s">
        <v>401</v>
      </c>
    </row>
    <row r="29" ht="15.75" customHeight="1">
      <c r="A29" s="43" t="s">
        <v>402</v>
      </c>
      <c r="B29" s="43" t="s">
        <v>4</v>
      </c>
      <c r="C29" s="43" t="s">
        <v>403</v>
      </c>
      <c r="D29" s="43" t="s">
        <v>404</v>
      </c>
      <c r="E29" s="43" t="s">
        <v>405</v>
      </c>
    </row>
    <row r="30" ht="15.75" customHeight="1">
      <c r="A30" s="39" t="s">
        <v>406</v>
      </c>
      <c r="B30" s="39" t="s">
        <v>82</v>
      </c>
      <c r="C30" s="39" t="s">
        <v>407</v>
      </c>
      <c r="D30" s="39" t="s">
        <v>408</v>
      </c>
      <c r="E30" s="39" t="s">
        <v>409</v>
      </c>
    </row>
    <row r="31" ht="15.75" customHeight="1">
      <c r="A31" s="39" t="s">
        <v>410</v>
      </c>
      <c r="B31" s="39" t="s">
        <v>82</v>
      </c>
      <c r="C31" s="39" t="s">
        <v>411</v>
      </c>
      <c r="D31" s="39" t="s">
        <v>412</v>
      </c>
      <c r="E31" s="39" t="s">
        <v>413</v>
      </c>
    </row>
    <row r="32" ht="15.75" customHeight="1">
      <c r="A32" s="39" t="s">
        <v>414</v>
      </c>
      <c r="B32" s="39" t="s">
        <v>82</v>
      </c>
      <c r="C32" s="39" t="s">
        <v>415</v>
      </c>
      <c r="D32" s="39" t="s">
        <v>416</v>
      </c>
      <c r="E32" s="39" t="s">
        <v>417</v>
      </c>
    </row>
    <row r="33" ht="15.75" customHeight="1">
      <c r="A33" s="39" t="s">
        <v>418</v>
      </c>
      <c r="B33" s="39" t="s">
        <v>331</v>
      </c>
      <c r="C33" s="39" t="s">
        <v>419</v>
      </c>
      <c r="D33" s="39" t="s">
        <v>412</v>
      </c>
      <c r="E33" s="39" t="s">
        <v>420</v>
      </c>
    </row>
    <row r="34" ht="15.75" customHeight="1">
      <c r="A34" s="39" t="s">
        <v>421</v>
      </c>
      <c r="B34" s="39" t="s">
        <v>89</v>
      </c>
      <c r="C34" s="39" t="s">
        <v>422</v>
      </c>
      <c r="D34" s="39" t="s">
        <v>423</v>
      </c>
      <c r="E34" s="39" t="s">
        <v>424</v>
      </c>
    </row>
    <row r="35" ht="15.75" customHeight="1">
      <c r="A35" s="39" t="s">
        <v>425</v>
      </c>
      <c r="B35" s="39" t="s">
        <v>89</v>
      </c>
      <c r="C35" s="39" t="s">
        <v>426</v>
      </c>
      <c r="D35" s="39" t="s">
        <v>427</v>
      </c>
      <c r="E35" s="39" t="s">
        <v>428</v>
      </c>
    </row>
    <row r="36" ht="15.75" customHeight="1">
      <c r="A36" s="39" t="s">
        <v>429</v>
      </c>
      <c r="B36" s="39" t="s">
        <v>430</v>
      </c>
      <c r="C36" s="39" t="s">
        <v>431</v>
      </c>
      <c r="D36" s="39" t="s">
        <v>432</v>
      </c>
      <c r="E36" s="39" t="s">
        <v>433</v>
      </c>
    </row>
    <row r="37" ht="15.75" customHeight="1">
      <c r="A37" s="39" t="s">
        <v>434</v>
      </c>
      <c r="B37" s="39" t="s">
        <v>435</v>
      </c>
      <c r="C37" s="39" t="s">
        <v>436</v>
      </c>
      <c r="D37" s="39" t="s">
        <v>437</v>
      </c>
      <c r="E37" s="39" t="s">
        <v>438</v>
      </c>
    </row>
    <row r="38" ht="15.75" customHeight="1">
      <c r="A38" s="39" t="s">
        <v>439</v>
      </c>
      <c r="B38" s="39" t="s">
        <v>82</v>
      </c>
      <c r="C38" s="39" t="s">
        <v>440</v>
      </c>
      <c r="D38" s="39" t="s">
        <v>416</v>
      </c>
      <c r="E38" s="39" t="s">
        <v>441</v>
      </c>
    </row>
    <row r="39" ht="15.75" customHeight="1">
      <c r="A39" s="39" t="s">
        <v>442</v>
      </c>
      <c r="B39" s="39" t="s">
        <v>82</v>
      </c>
      <c r="C39" s="39" t="s">
        <v>443</v>
      </c>
      <c r="D39" s="39" t="s">
        <v>444</v>
      </c>
      <c r="E39" s="39" t="s">
        <v>445</v>
      </c>
    </row>
    <row r="40" ht="15.75" customHeight="1">
      <c r="A40" s="39" t="s">
        <v>446</v>
      </c>
      <c r="B40" s="39" t="s">
        <v>82</v>
      </c>
      <c r="C40" s="39" t="s">
        <v>447</v>
      </c>
      <c r="D40" s="39" t="s">
        <v>448</v>
      </c>
      <c r="E40" s="39" t="s">
        <v>449</v>
      </c>
    </row>
    <row r="41" ht="15.75" customHeight="1">
      <c r="A41" s="39" t="s">
        <v>450</v>
      </c>
      <c r="B41" s="39" t="s">
        <v>319</v>
      </c>
      <c r="C41" s="39" t="s">
        <v>451</v>
      </c>
      <c r="D41" s="39" t="s">
        <v>452</v>
      </c>
      <c r="E41" s="39" t="s">
        <v>453</v>
      </c>
    </row>
    <row r="42" ht="15.75" customHeight="1">
      <c r="A42" s="39" t="s">
        <v>454</v>
      </c>
      <c r="B42" s="39" t="s">
        <v>89</v>
      </c>
      <c r="C42" s="39" t="s">
        <v>455</v>
      </c>
      <c r="D42" s="39" t="s">
        <v>456</v>
      </c>
      <c r="E42" s="39" t="s">
        <v>457</v>
      </c>
    </row>
    <row r="43" ht="15.75" customHeight="1">
      <c r="A43" s="39" t="s">
        <v>458</v>
      </c>
      <c r="B43" s="39" t="s">
        <v>298</v>
      </c>
      <c r="C43" s="39" t="s">
        <v>459</v>
      </c>
      <c r="D43" s="39" t="s">
        <v>460</v>
      </c>
      <c r="E43" s="39" t="s">
        <v>417</v>
      </c>
    </row>
    <row r="44" ht="15.75" customHeight="1">
      <c r="A44" s="39" t="s">
        <v>461</v>
      </c>
      <c r="B44" s="39" t="s">
        <v>298</v>
      </c>
      <c r="C44" s="39" t="s">
        <v>462</v>
      </c>
      <c r="D44" s="39" t="s">
        <v>463</v>
      </c>
      <c r="E44" s="39" t="s">
        <v>417</v>
      </c>
    </row>
    <row r="45" ht="15.75" customHeight="1">
      <c r="A45" s="39" t="s">
        <v>464</v>
      </c>
      <c r="B45" s="39" t="s">
        <v>298</v>
      </c>
      <c r="C45" s="39" t="s">
        <v>465</v>
      </c>
      <c r="D45" s="39" t="s">
        <v>466</v>
      </c>
      <c r="E45" s="39" t="s">
        <v>467</v>
      </c>
    </row>
    <row r="46" ht="15.75" customHeight="1">
      <c r="A46" s="39" t="s">
        <v>468</v>
      </c>
      <c r="B46" s="39" t="s">
        <v>298</v>
      </c>
      <c r="C46" s="39" t="s">
        <v>465</v>
      </c>
      <c r="D46" s="39" t="s">
        <v>469</v>
      </c>
      <c r="E46" s="39" t="s">
        <v>417</v>
      </c>
    </row>
    <row r="47" ht="15.75" customHeight="1">
      <c r="A47" s="39" t="s">
        <v>470</v>
      </c>
      <c r="B47" s="39" t="s">
        <v>311</v>
      </c>
      <c r="C47" s="39" t="s">
        <v>471</v>
      </c>
      <c r="D47" s="39" t="s">
        <v>472</v>
      </c>
      <c r="E47" s="39" t="s">
        <v>473</v>
      </c>
    </row>
    <row r="48" ht="15.75" customHeight="1">
      <c r="A48" s="39" t="s">
        <v>474</v>
      </c>
      <c r="B48" s="39" t="s">
        <v>475</v>
      </c>
      <c r="C48" s="39" t="s">
        <v>476</v>
      </c>
      <c r="D48" s="39" t="s">
        <v>477</v>
      </c>
      <c r="E48" s="39" t="s">
        <v>478</v>
      </c>
    </row>
    <row r="49" ht="15.75" customHeight="1">
      <c r="A49" s="39" t="s">
        <v>479</v>
      </c>
      <c r="B49" s="39" t="s">
        <v>74</v>
      </c>
      <c r="C49" s="39" t="s">
        <v>480</v>
      </c>
      <c r="D49" s="39" t="s">
        <v>481</v>
      </c>
      <c r="E49" s="39" t="s">
        <v>413</v>
      </c>
    </row>
    <row r="50" ht="15.75" customHeight="1">
      <c r="A50" s="39" t="s">
        <v>482</v>
      </c>
      <c r="B50" s="39" t="s">
        <v>74</v>
      </c>
      <c r="C50" s="39" t="s">
        <v>483</v>
      </c>
      <c r="D50" s="39" t="s">
        <v>484</v>
      </c>
      <c r="E50" s="39" t="s">
        <v>485</v>
      </c>
    </row>
    <row r="51" ht="15.75" customHeight="1">
      <c r="A51" s="39" t="s">
        <v>486</v>
      </c>
      <c r="B51" s="39" t="s">
        <v>74</v>
      </c>
      <c r="C51" s="39" t="s">
        <v>483</v>
      </c>
      <c r="D51" s="39" t="s">
        <v>484</v>
      </c>
      <c r="E51" s="39" t="s">
        <v>485</v>
      </c>
    </row>
    <row r="52" ht="15.75" customHeight="1"/>
    <row r="53" ht="15.75" customHeight="1">
      <c r="A53" s="42" t="s">
        <v>487</v>
      </c>
    </row>
    <row r="54" ht="15.75" customHeight="1">
      <c r="A54" s="39" t="s">
        <v>488</v>
      </c>
    </row>
    <row r="55" ht="15.75" customHeight="1">
      <c r="A55" s="39" t="s">
        <v>489</v>
      </c>
    </row>
    <row r="56" ht="15.75" customHeight="1">
      <c r="A56" s="39" t="s">
        <v>490</v>
      </c>
    </row>
    <row r="57" ht="15.75" customHeight="1">
      <c r="A57" s="39" t="s">
        <v>491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E14"/>
    <mergeCell ref="A25:E25"/>
    <mergeCell ref="A28:E28"/>
    <mergeCell ref="A54:E54"/>
    <mergeCell ref="A55:E55"/>
    <mergeCell ref="A56:E56"/>
    <mergeCell ref="A57:E57"/>
    <mergeCell ref="A5:E5"/>
    <mergeCell ref="A8:E8"/>
    <mergeCell ref="A9:E9"/>
    <mergeCell ref="A10:E10"/>
    <mergeCell ref="A11:E11"/>
    <mergeCell ref="A12:E12"/>
    <mergeCell ref="A13:E13"/>
  </mergeCells>
  <printOptions/>
  <pageMargins bottom="1.0" footer="0.0" header="0.0" left="0.75" right="0.75" top="1.0"/>
  <pageSetup orientation="landscape"/>
  <drawing r:id="rId1"/>
</worksheet>
</file>