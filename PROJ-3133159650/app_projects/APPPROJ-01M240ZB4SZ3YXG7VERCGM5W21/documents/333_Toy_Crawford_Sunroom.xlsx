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Labor_Detail" sheetId="2" r:id="rId5"/>
    <sheet state="visible" name="Material_Detail" sheetId="3" r:id="rId6"/>
    <sheet state="visible" name="Equipment_Detail" sheetId="4" r:id="rId7"/>
    <sheet state="visible" name="PM_Notes" sheetId="5" r:id="rId8"/>
    <sheet state="visible" name="Assumptions" sheetId="6" r:id="rId9"/>
    <sheet state="visible" name="Labor_Rates" sheetId="7" r:id="rId10"/>
    <sheet state="visible" name="Template_Guide" sheetId="8" r:id="rId11"/>
    <sheet state="visible" name="Data_Lists" sheetId="9" r:id="rId12"/>
    <sheet state="visible" name="Section_Master" sheetId="10" r:id="rId13"/>
  </sheets>
  <definedNames/>
  <calcPr/>
  <extLst>
    <ext uri="GoogleSheetsCustomDataVersion2">
      <go:sheetsCustomData xmlns:go="http://customooxmlschemas.google.com/" r:id="rId14" roundtripDataChecksum="evRzedfZkCp3S4TGxTCez4mY6Et+M3NezGQLCIyTAIQ="/>
    </ext>
  </extLst>
</workbook>
</file>

<file path=xl/sharedStrings.xml><?xml version="1.0" encoding="utf-8"?>
<sst xmlns="http://schemas.openxmlformats.org/spreadsheetml/2006/main" count="759" uniqueCount="416">
  <si>
    <t>Section</t>
  </si>
  <si>
    <t>333 Toy Crawford Rd - 43x10 Elevated Sunroom Replacement: Demo, New Structure, Siding, Electrical, HVAC</t>
  </si>
  <si>
    <t>Project Totals</t>
  </si>
  <si>
    <t>Trade Role</t>
  </si>
  <si>
    <t>Labor Cost</t>
  </si>
  <si>
    <t>Equipment or Misc Item</t>
  </si>
  <si>
    <t>Hours</t>
  </si>
  <si>
    <t>Quantity</t>
  </si>
  <si>
    <t>Rate</t>
  </si>
  <si>
    <t>Unit</t>
  </si>
  <si>
    <t>Unit Cost</t>
  </si>
  <si>
    <t>Notes</t>
  </si>
  <si>
    <t>Rate Category</t>
  </si>
  <si>
    <t>Project</t>
  </si>
  <si>
    <t>Line Total</t>
  </si>
  <si>
    <t>43x10 Elevated Sunroom Replace: New Posts/Beam/Floor/Walls, Vinyl Siding, 6 Windows, Mini-Split</t>
  </si>
  <si>
    <t>Material Cost</t>
  </si>
  <si>
    <t>General Conditions, Temporary Shoring &amp; Structural Support</t>
  </si>
  <si>
    <t>Project Manager</t>
  </si>
  <si>
    <t>Source Scope</t>
  </si>
  <si>
    <t>333_Toy_Crawford_Sunroom_Scope.txt</t>
  </si>
  <si>
    <t>Material</t>
  </si>
  <si>
    <t>Equipment Cost</t>
  </si>
  <si>
    <t>Selective Demo - 43x10 Elevated Sunroom to Bearing Points (3 Dump Runs)</t>
  </si>
  <si>
    <t>Description</t>
  </si>
  <si>
    <t>Template Anchor</t>
  </si>
  <si>
    <t>Dumpster - 3 Runs</t>
  </si>
  <si>
    <t>Basement_Remodel_Breakdown_Locked_Template_v1.xlsx</t>
  </si>
  <si>
    <t>Grand Total</t>
  </si>
  <si>
    <t>Overall Footprint SF</t>
  </si>
  <si>
    <t>Revenue:</t>
  </si>
  <si>
    <t>Ceiling Height</t>
  </si>
  <si>
    <t>ea</t>
  </si>
  <si>
    <t>Note</t>
  </si>
  <si>
    <t>Use this workbook as a locked template. Populate detail rows only; preserve formulas, tabs, and section order.</t>
  </si>
  <si>
    <t>GP</t>
  </si>
  <si>
    <t>Waste Factor</t>
  </si>
  <si>
    <t>GP %</t>
  </si>
  <si>
    <t>Coordinate all work per IRC 2018 and NEC; verify existing electrical disconnect condition prior to reuse and modification; install jobsite protection at access points and adjacent finishes below work area; coordinate temporary shoring plan before any demolition begins; NOTE: all work sequence governed by shoring plan - shoring must be in place before any structural demolition</t>
  </si>
  <si>
    <t>3 runs per scope</t>
  </si>
  <si>
    <t>Project Consumables</t>
  </si>
  <si>
    <t>Section Total</t>
  </si>
  <si>
    <t>Labor Hours</t>
  </si>
  <si>
    <t>Foundation - 8 Post Footers, Post Brackets &amp; 3-Ply 2x12 Primary Beam 44 LF</t>
  </si>
  <si>
    <t>Caulk, fasteners, misc hardware</t>
  </si>
  <si>
    <t>Team Lead</t>
  </si>
  <si>
    <t>Concrete Mixer - Footers</t>
  </si>
  <si>
    <t>lot</t>
  </si>
  <si>
    <t>day</t>
  </si>
  <si>
    <t>Hand-mix footers on-site</t>
  </si>
  <si>
    <t>Install temporary shoring and structural support system to maintain existing shed roof during full demolition and reconstruction phases; shoring must be designed for 43-ft roof span and remain until new wall structure is fully framed, sheathed, and capable of carrying roof loads; install all jobsite protection along access paths and adjacent finished areas below</t>
  </si>
  <si>
    <t>Floor System - PT Framing, Subfloor, Floor Insulation &amp; Vinyl Soffit Below</t>
  </si>
  <si>
    <t>Scaffolding - Elevated Floor Work</t>
  </si>
  <si>
    <t>General Labor</t>
  </si>
  <si>
    <t>Elevated floor framing and soffit install</t>
  </si>
  <si>
    <t>Erect temporary shoring system - 43-ft roof span: install vertical shores, horizontal wales, and bracing as required; maintain and inspect shoring daily throughout demolition and rebuild; remove and dispose of shoring materials at project completion after roof is permanently secured</t>
  </si>
  <si>
    <t>Temporary Shoring Materials</t>
  </si>
  <si>
    <t>Vertical shores, horizontal wales, bracing for 43-ft roof span</t>
  </si>
  <si>
    <t>Demo planning: confirm all bearing points before any cutting; coordinate demo sequence around active shoring; plan debris lowering method from elevated structure; 3 dump trailer runs budgeted per scope</t>
  </si>
  <si>
    <t>Critical: must be designed for full roof load during demo and rebuild</t>
  </si>
  <si>
    <t>Jobsite Protection Materials</t>
  </si>
  <si>
    <t>Plywood, tarps, barriers at access and adjacent finishes below</t>
  </si>
  <si>
    <t>Demolish existing 43x10 elevated sunroom down to bearing points required for new construction: remove existing 6x6 posts, floor framing, subfloor, wall framing, windows, and ceiling assemblies; remove all existing substandard structural components; preserve existing shed roof system with temporary shoring throughout; lower all demo debris from elevated structure to ground; 3 dump trailer runs for all demolition debris</t>
  </si>
  <si>
    <t>Foundation coordination: confirm footer locations near existing pad; confirm post spacing for new primary beam and floor system loads; confirm post bracket alignment before concrete sets; plan 3-ply 2x12 beam construction and erection sequence</t>
  </si>
  <si>
    <t>Demo Supplies</t>
  </si>
  <si>
    <t>Wall Framing - 63 LF Exterior, Sheathing, WRB &amp; Vinyl Siding</t>
  </si>
  <si>
    <t>Reciprocating blades, pry bars, demo bags, safety equipment</t>
  </si>
  <si>
    <t>Cut and install concrete footers at each of 8 post locations near existing pad - 12"x12"x12" each (8 CF total); hand-mix bags practical for this footer size; allow cure before loading post brackets</t>
  </si>
  <si>
    <t>Debris Disposal</t>
  </si>
  <si>
    <t>Windows (6 x 36x60) &amp; Exterior Pre-Hung Door (36x80)</t>
  </si>
  <si>
    <t>3 dump trailer runs per scope</t>
  </si>
  <si>
    <t>Install galvanized post brackets anchored to each footer after cure - 8 post bases; confirm alignment and elevation before proceeding to posts</t>
  </si>
  <si>
    <t>Per scope</t>
  </si>
  <si>
    <t>Concrete - Footers</t>
  </si>
  <si>
    <t>Roof Integration - Reattach Shed Roof, Flashing &amp; 2 Patch/Repairs</t>
  </si>
  <si>
    <t>8 footers at 12x12x12; hand-mix bags; 16 x 80-lb bags</t>
  </si>
  <si>
    <t>Install 8 new 6x6 pressure-treated posts on post brackets - 8 posts x 1.5 hrs each = 12 hrs; plumb, brace, and confirm height at each post before beam installation</t>
  </si>
  <si>
    <t>bag</t>
  </si>
  <si>
    <t>Small footers - hand-mix more practical than ready-mix</t>
  </si>
  <si>
    <t>Galvanized Post Brackets</t>
  </si>
  <si>
    <t>8 post bases - galvanized</t>
  </si>
  <si>
    <t>Build and install (1) primary beam approximately 44 LF consisting of 3-ply 2x12 dimensional lumber fastened per code; assemble plies, nail/bolt per IRC, set on post tops; all framing per IRC span tables and loading requirements</t>
  </si>
  <si>
    <t>Electrical - Disconnect to Subpanel, Outlets, 6 Fixtures, 2 Fans &amp; Switches</t>
  </si>
  <si>
    <t>Anchor Hardware for Post Brackets</t>
  </si>
  <si>
    <t>Epoxy anchors or anchor bolts at each footer</t>
  </si>
  <si>
    <t>set</t>
  </si>
  <si>
    <t>Floor system coordination: confirm PT joist sizing per IRC for 10-ft span; plan vinyl soffit installation sequence beneath floor framing before joists are set; confirm subfloor adhesive and fastening requirements</t>
  </si>
  <si>
    <t>HVAC - Ductless Mini-Split $2,500 Allowance</t>
  </si>
  <si>
    <t>6x6 PT Posts</t>
  </si>
  <si>
    <t>8 posts at approximately 10 ft</t>
  </si>
  <si>
    <t>Frame new floor system using PT framing lumber per IRC span requirements - 34 joists at 16" OC spanning 10 ft (43-ft length); install ledger boards, rim joists, blocking, and hangers; all framing elevated - allow additional time for staging and elevated work</t>
  </si>
  <si>
    <t>2x12 Dimensional Lumber - Primary Beam</t>
  </si>
  <si>
    <t>132 LF of 2x12 for 3-ply x 44 LF beam</t>
  </si>
  <si>
    <t>lf</t>
  </si>
  <si>
    <t>Insulation - Exterior Wall Cavities (504 SF) &amp; Floor Cavity (430 SF)</t>
  </si>
  <si>
    <t>Beam Connection Hardware</t>
  </si>
  <si>
    <t>Through-bolts, structural screws, bearing plates for 3-ply beam</t>
  </si>
  <si>
    <t>Install subfloor sheathing glued and fastened per IRC - 15 sheets 3/4" T&amp;G at 0.60 hr/sheet</t>
  </si>
  <si>
    <t>Drywall - Walls Only 848 SF, Level 3 Finish</t>
  </si>
  <si>
    <t>Post Caps + Structural Hardware</t>
  </si>
  <si>
    <t>Install insulation in floor cavity - 430 SF; batt insulation sized per cavity depth between PT joists</t>
  </si>
  <si>
    <t>Post-to-beam connectors and structural ties</t>
  </si>
  <si>
    <t>Cleanup &amp; Project Closeout</t>
  </si>
  <si>
    <t>PT Floor Joists</t>
  </si>
  <si>
    <t>34 joists spanning 10 ft - sized per IRC span</t>
  </si>
  <si>
    <t>Not Applicable</t>
  </si>
  <si>
    <t>Install vinyl soffit system beneath floor framing - 5 squares (430 SF); installed from below, overhead work throughout; protects floor cavity from weather and pest intrusion; include all J-channel, F-channel, vents, and accessories</t>
  </si>
  <si>
    <t>PT Rim Joists and Ledger</t>
  </si>
  <si>
    <t>Perimeter framing: 2x{D}+2x{W} = ~106 LF</t>
  </si>
  <si>
    <t>Wall framing and siding coordination: confirm window and door rough opening locations; confirm vinyl siding profile and color before ordering; plan siding sequence around 6 window and 1 door openings</t>
  </si>
  <si>
    <t>Joist Hangers</t>
  </si>
  <si>
    <t>At all joist-to-ledger and joist-to-beam connections</t>
  </si>
  <si>
    <t>Frame exterior walls using 2x4 lumber at 16" OC - 63 LF (3 exposed sides: 43-ft front + 2x 10-ft ends) at 0.45 hr/LF; frame window rough openings for 6 windows; frame door rough opening for 36x80 exterior door; install all headers, blocking, and required structural connections</t>
  </si>
  <si>
    <t>Subfloor Sheathing 3/4 in T&amp;G</t>
  </si>
  <si>
    <t>15 sheets glued and fastened</t>
  </si>
  <si>
    <t>sheet</t>
  </si>
  <si>
    <t>Subfloor Adhesive</t>
  </si>
  <si>
    <t>PL400 construction adhesive</t>
  </si>
  <si>
    <t>Install exterior wall sheathing - 18 sheets OSB 7/16" at 0.40 hr/sheet; install weather-resistant barrier over full sheathed area; tape all WRB seams and integrate at window and door openings</t>
  </si>
  <si>
    <t>Floor Batt Insulation</t>
  </si>
  <si>
    <t>430 SF in floor cavity</t>
  </si>
  <si>
    <t>sf</t>
  </si>
  <si>
    <t>TOTALS</t>
  </si>
  <si>
    <t>Install WRB house wrap; tape seams; integrate at all openings</t>
  </si>
  <si>
    <t>Vinyl Soffit - Below Floor</t>
  </si>
  <si>
    <t>5 squares under floor framing</t>
  </si>
  <si>
    <t>sq</t>
  </si>
  <si>
    <t>Weather and pest protection below floor structure</t>
  </si>
  <si>
    <t>Install vinyl lap siding on all exterior wall surfaces - 5 squares; $150/square retail allowance; install starter strip, J-channel at all window and door perimeters, corner posts, and all trim accessories</t>
  </si>
  <si>
    <t>Soffit Accessories</t>
  </si>
  <si>
    <t>J-channel, F-channel, vents, fasteners for floor soffit</t>
  </si>
  <si>
    <t>2x4 Wall Studs</t>
  </si>
  <si>
    <t>52 studs for 63 LF walls</t>
  </si>
  <si>
    <t>Install all exterior trim at corners, window perimeters, door opening, and all siding transitions; caulk all joints and penetrations</t>
  </si>
  <si>
    <t>2x4 Wall Plates</t>
  </si>
  <si>
    <t>24 pcs - 63 LF x 3</t>
  </si>
  <si>
    <t>Window and door coordination: confirm vinyl window selection ($300 each allowance); confirm exterior door selection ($500 allowance) and hardware; confirm all 6 window and 1 door rough opening dimensions before ordering</t>
  </si>
  <si>
    <t>Window Headers and Blocking</t>
  </si>
  <si>
    <t>LVL or built-up headers at 6 window openings</t>
  </si>
  <si>
    <t>Install up to 6 new vinyl windows 36"x60" ($300 each retail allowance) - 6 x 2.0 hrs each; install plumb, level, shim, foam, flash per manufacturer; install sill pans, flashing tape, exterior caulk at all windows; install screens where included with window package</t>
  </si>
  <si>
    <t>Door Header and Blocking</t>
  </si>
  <si>
    <t>Header at 36-in door opening</t>
  </si>
  <si>
    <t>Install 1 exterior pre-hung door 36"x80" ($500 allowance) with hardware; set, shim, level, flash, foam, caulk; install lockset and weatherstripping; test operation</t>
  </si>
  <si>
    <t>Wall Sheathing 7/16 in OSB</t>
  </si>
  <si>
    <t>18 sheets exterior walls</t>
  </si>
  <si>
    <t>Roof integration coordination: plan roof reseating sequence while shoring is active; confirm flashing tie-in detail at wall-to-roof connection; plan 2 roof patch/repairs at previous vent locations; NOTE: shoring may be removed only after roof is permanently seated and secured on new walls</t>
  </si>
  <si>
    <t>House Wrap WRB</t>
  </si>
  <si>
    <t>Weather-resistant barrier full wall area</t>
  </si>
  <si>
    <t>WRB Tape and Accessories</t>
  </si>
  <si>
    <t>Seam tape, window integration tape</t>
  </si>
  <si>
    <t>Reintegrate existing shed roof system onto new wall structure; install required flashing and tie-ins at roof-to-wall connection to maintain fully weather-tight condition; install flashing at all transitions and edges; complete up to 2 roof patch/repairs from previous venting locations; all work done with shoring active until roof is permanently secured; remove shoring only after roof is bearing on new wall structure and fully flashed</t>
  </si>
  <si>
    <t>Vinyl Lap Siding (allowance)</t>
  </si>
  <si>
    <t>5 squares at $150/sq retail</t>
  </si>
  <si>
    <t>Allowance per scope</t>
  </si>
  <si>
    <t>Siding Accessories</t>
  </si>
  <si>
    <t>Starter strip, J-channel, corner posts, utility trim</t>
  </si>
  <si>
    <t>Electrical layout: assess existing disconnect condition before modification; plan breaker configuration for subpanel function; plan outlet layout per NEC spacing for 43x10 space; confirm 6 flush-mount and 2 fan locations before rough-in</t>
  </si>
  <si>
    <t>Electrical/HVAC</t>
  </si>
  <si>
    <t>Exterior Trim</t>
  </si>
  <si>
    <t>Corner boards, window and door surround trim</t>
  </si>
  <si>
    <t>Exterior Caulk</t>
  </si>
  <si>
    <t>All siding transitions and penetrations</t>
  </si>
  <si>
    <t>Modify existing disconnect panel by replacing fuses with breaker configuration to function as subpanel - verify condition of existing panel before modification; install electrical rough-in per NEC requirements: outlets per IRC/NEC spacing throughout 43x10 space (est 10 outlets); wiring and boxes for 6 flush-mount light fixtures ($75 each allowance); wiring and structural support for 2 ceiling fans ($150 each allowance); install all switching and circuits as required; HVAC disconnect for mini-split</t>
  </si>
  <si>
    <t>Risk Type</t>
  </si>
  <si>
    <t>Issue</t>
  </si>
  <si>
    <t>PM Recommendation</t>
  </si>
  <si>
    <t>CRITICAL - Temporary Shoring Must Be In Place Before Any Demo</t>
  </si>
  <si>
    <t>Safety/Structural</t>
  </si>
  <si>
    <t>Vinyl Windows 36x60 (allowance)</t>
  </si>
  <si>
    <t>The existing shed roof must be continuously supported by a temporary shoring system before any structural demolition begins. This is the highest risk item on this project. The shoring system must be designed to carry the full roof load at a 43-ft span. Shoring must remain active until the new wall structure is fully framed, sheathed, and the roof is permanently reseated and flashed.</t>
  </si>
  <si>
    <t>6 at $300 each retail</t>
  </si>
  <si>
    <t>Design shoring plan before mobilizing. Install all shoring before touching any existing structural component. Inspect shoring daily. Do not remove shoring until TL confirms new walls are fully capable of carrying roof load. Roof integration and final flashing must be complete before shoring is removed.</t>
  </si>
  <si>
    <t>Existing Disconnect Panel Condition - Verify Before Modification</t>
  </si>
  <si>
    <t>Electrical Risk</t>
  </si>
  <si>
    <t>Scope requires modifying the existing disconnect panel by replacing fuses with breakers to function as a subpanel. The condition of the existing panel must be verified before any modification. If the panel is deteriorated, unsafe, or not suitable for conversion, a new subpanel may be required at additional cost.</t>
  </si>
  <si>
    <t>Electrician must assess existing disconnect panel condition before ordering breaker conversion kit. If panel enclosure, bus, or wiring is unsuitable, present replacement cost to customer. Verify existing panel can legally serve as subpanel in this jurisdiction.</t>
  </si>
  <si>
    <t>Substandard Original Construction - Unknown Hidden Conditions</t>
  </si>
  <si>
    <t>Production Risk</t>
  </si>
  <si>
    <t>This project is replacing a structure that had improper original construction. Additional hidden structural deficiencies, non-code conditions, or connection issues may be discovered during demolition that are not visible before work begins.</t>
  </si>
  <si>
    <t>Electrical finish: install 6 flush-mount light fixtures, 2 ceiling fans; install all outlet devices, switches, cover plates; test all circuits and devices</t>
  </si>
  <si>
    <t>Document all conditions discovered during demolition with photos. Stop and present any discovered structural issues to customer before proceeding. Any required correction of conditions outside the written scope = change order.</t>
  </si>
  <si>
    <t>Roof Reintegration - Weather Exposure During Construction</t>
  </si>
  <si>
    <t>Exterior Door 36x80 (allowance)</t>
  </si>
  <si>
    <t>$500 retail with hardware</t>
  </si>
  <si>
    <t>Reintegrating the existing shed roof onto new walls creates a period of weather exposure. The transition from demolition to new wall framing to roof reseating must be coordinated with favorable weather. Emergency tarping must be on-site throughout the project.</t>
  </si>
  <si>
    <t>Monitor weather forecast continuously during the demo and rebuild phase. Have tarps and fasteners staged on-site before demo begins. Plan roof reseating work to be completed in one continuous work session when possible. Do not leave roof open overnight without temporary weather protection.</t>
  </si>
  <si>
    <t>Vinyl Soffit Under Floor - Overhead Work</t>
  </si>
  <si>
    <t>430 SF of vinyl soffit installed below the elevated floor framing is significant overhead work. This requires scaffolding or staging below the structure and is more labor-intensive than standard soffit work.</t>
  </si>
  <si>
    <t>Confirm scaffolding is staged below floor before floor framing begins. Plan soffit installation immediately after floor framing and before subfloor is installed if access from above is possible. If installed from below, rolling scaffold is required.</t>
  </si>
  <si>
    <t>Window Install Materials</t>
  </si>
  <si>
    <t>Install 1 ductless mini-split system sized for 43x10 space ($2,500 allowance); includes indoor head unit, outdoor condenser, refrigerant line set, condensate drain routing, exterior wall penetration, mounting bracket/pad, thermostat/remote setup, startup and testing; standard line-set routing assumed</t>
  </si>
  <si>
    <t>Flashing tape, foam, sill pan, exterior caulk at 6 windows</t>
  </si>
  <si>
    <t>Install batt insulation in all exterior wall cavities - 504 SF (63 LF x 8 ft) at 0.012 hr/SF; floor insulation already installed in S14; seal accessible penetrations at framing</t>
  </si>
  <si>
    <t>Door Install Materials</t>
  </si>
  <si>
    <t>Flashing tape, foam, threshold, sill pan</t>
  </si>
  <si>
    <t>Roof-to-Wall Flashing</t>
  </si>
  <si>
    <t>Step flashing, counter flashing, and cap flashing at roof tie-in</t>
  </si>
  <si>
    <t>Drywall layout: walls only per scope (no ceiling drywall); Level 3 finish throughout; confirm all access panel locations before drywalling; NOTE: scope specifies walls only - ceiling finish not included</t>
  </si>
  <si>
    <t>Roof Patch Materials</t>
  </si>
  <si>
    <t>Shingles and materials for 2 patch/repairs at old vent locations</t>
  </si>
  <si>
    <t>Install drywall on walls throughout sunroom - 30 sheets at 0.60 hr/sheet; 848 SF total: interior faces of 3 exterior walls (63 LF x 8 ft = 504 SF) + house-side wall (43 LF x 8 ft = 344 SF); NOTE: ceiling drywall not included per scope</t>
  </si>
  <si>
    <t>Match existing shingle as closely as possible</t>
  </si>
  <si>
    <t>Roofing Sealant</t>
  </si>
  <si>
    <t>Lap cement, silicone at all flashing transitions</t>
  </si>
  <si>
    <t>Apply tape and 3 coats drywall compound - 848 SF; sand Level 3 finish throughout; install corner bead at all outside corners; ready for primer and paint</t>
  </si>
  <si>
    <t>Electrical Panel Conversion Kit</t>
  </si>
  <si>
    <t>Breaker kit to convert existing fuse disconnect to breaker subpanel</t>
  </si>
  <si>
    <t>Perform jobsite cleanup throughout and at completion; remove all construction debris from site; punch list walkthrough with customer</t>
  </si>
  <si>
    <t>Breakers</t>
  </si>
  <si>
    <t>Breaker set for converted panel</t>
  </si>
  <si>
    <t>Wire 14/2 NM</t>
  </si>
  <si>
    <t>15A lighting and outlet circuits throughout</t>
  </si>
  <si>
    <t>Wire 12/2 NM</t>
  </si>
  <si>
    <t>20A dedicated circuits</t>
  </si>
  <si>
    <t>Electrical Boxes</t>
  </si>
  <si>
    <t>Outlet, switch, fan, fixture boxes</t>
  </si>
  <si>
    <t>Outlet Devices</t>
  </si>
  <si>
    <t>NEC-spaced outlets throughout 43x10 space</t>
  </si>
  <si>
    <t>Switches</t>
  </si>
  <si>
    <t>Lighting and fan switching</t>
  </si>
  <si>
    <t>Flush-Mount Fixtures (allowance)</t>
  </si>
  <si>
    <t>6 at $75 each</t>
  </si>
  <si>
    <t>Ceiling Fans (allowance)</t>
  </si>
  <si>
    <t>2 at $150 each</t>
  </si>
  <si>
    <t>Cover Plates</t>
  </si>
  <si>
    <t>Decorator style throughout</t>
  </si>
  <si>
    <t>GFCI Outlets</t>
  </si>
  <si>
    <t>NEC required locations</t>
  </si>
  <si>
    <t>Electrical Misc</t>
  </si>
  <si>
    <t>Category</t>
  </si>
  <si>
    <t>Connectors, staples, wire nuts, tape</t>
  </si>
  <si>
    <t>Project name</t>
  </si>
  <si>
    <t>333 Toy Crawford Rd - 43x10 Elevated Sunroom Replacement</t>
  </si>
  <si>
    <t>From scope / intake</t>
  </si>
  <si>
    <t>Metadata</t>
  </si>
  <si>
    <t>Overall footprint</t>
  </si>
  <si>
    <t>SF</t>
  </si>
  <si>
    <t>From intake and scope</t>
  </si>
  <si>
    <t>Drives flooring, ceiling, production</t>
  </si>
  <si>
    <t>Ceiling height</t>
  </si>
  <si>
    <t>ft</t>
  </si>
  <si>
    <t>Drives wall area</t>
  </si>
  <si>
    <t>Interior wall length</t>
  </si>
  <si>
    <t>LF</t>
  </si>
  <si>
    <t>Mini-Split System (allowance)</t>
  </si>
  <si>
    <t>From intake/drawings or assumptions</t>
  </si>
  <si>
    <t>Drives framing and two-sided finishes</t>
  </si>
  <si>
    <t>Structure</t>
  </si>
  <si>
    <t>1-zone system sized for 430 SF - $2,500 retail</t>
  </si>
  <si>
    <t>43x10 = 430 SF elevated second-story sunroom replacement</t>
  </si>
  <si>
    <t>Full demo + rebuild</t>
  </si>
  <si>
    <t>Drives framing, insulation, one-sided finishes</t>
  </si>
  <si>
    <t>Existing shed roof preserved throughout via shoring</t>
  </si>
  <si>
    <t>Shoring</t>
  </si>
  <si>
    <t>43-ft roof span temporary support</t>
  </si>
  <si>
    <t>Must be in place before any demo</t>
  </si>
  <si>
    <t>Drives drywall, paint</t>
  </si>
  <si>
    <t>Critical: do not demo without shoring</t>
  </si>
  <si>
    <t>Foundation</t>
  </si>
  <si>
    <t>8 x 6x6 PT posts on 12x12x12 footers</t>
  </si>
  <si>
    <t>Post brackets after footer cure</t>
  </si>
  <si>
    <t>Drives trim</t>
  </si>
  <si>
    <t>Small footers - hand-mix bags</t>
  </si>
  <si>
    <t>Primary Beam</t>
  </si>
  <si>
    <t>3-ply 2x12 x 44 LF = 132 LF of 2x12</t>
  </si>
  <si>
    <t>Per IRC span tables</t>
  </si>
  <si>
    <t>Drives trim and CO logic</t>
  </si>
  <si>
    <t>Floor</t>
  </si>
  <si>
    <t>34 PT joists 10-ft span; 15 sh subfloor; 430 SF insulation</t>
  </si>
  <si>
    <t>PT framing throughout</t>
  </si>
  <si>
    <t>Scope alignment</t>
  </si>
  <si>
    <t>430 SF vinyl soffit below floor (5 squares)</t>
  </si>
  <si>
    <t>Walls</t>
  </si>
  <si>
    <t>63 LF ext walls (3 sides); sheathing + WRB + vinyl siding</t>
  </si>
  <si>
    <t>House side = roof integration only</t>
  </si>
  <si>
    <t>5 squares vinyl siding at $150/sq allowance</t>
  </si>
  <si>
    <t>Windows</t>
  </si>
  <si>
    <t>Allowance per scope; confirm BTU sizing for 430 SF space</t>
  </si>
  <si>
    <t>6 x 36x60 vinyl at $300 each + 1 door at $500</t>
  </si>
  <si>
    <t>All allowances per scope</t>
  </si>
  <si>
    <t>Confirm availability before ordering</t>
  </si>
  <si>
    <t>Electrical</t>
  </si>
  <si>
    <t>Fuse-to-breaker panel conversion + outlets + 6 fixtures + 2 fans</t>
  </si>
  <si>
    <t>NEC compliant</t>
  </si>
  <si>
    <t>Drives tile materials and labor</t>
  </si>
  <si>
    <t>Verify existing panel condition first</t>
  </si>
  <si>
    <t>HVAC</t>
  </si>
  <si>
    <t>1-zone mini-split $2,500 allowance</t>
  </si>
  <si>
    <t>430 SF space</t>
  </si>
  <si>
    <t>Labor realism</t>
  </si>
  <si>
    <t>Confirm BTU sizing</t>
  </si>
  <si>
    <t>Condensate Drain Materials</t>
  </si>
  <si>
    <t>Drywall</t>
  </si>
  <si>
    <t>848 SF walls only - no ceiling drywall per scope</t>
  </si>
  <si>
    <t>Level 3 finish</t>
  </si>
  <si>
    <t>Audit trail</t>
  </si>
  <si>
    <t>Ceiling drywall not in scope</t>
  </si>
  <si>
    <t>Insulation</t>
  </si>
  <si>
    <t>PVC drain from indoor head to discharge</t>
  </si>
  <si>
    <t>504 SF wall cavities + 430 SF floor = 934 SF total</t>
  </si>
  <si>
    <t>R-13 batt throughout</t>
  </si>
  <si>
    <t>Total Labor Hrs</t>
  </si>
  <si>
    <t>~455</t>
  </si>
  <si>
    <t>hrs</t>
  </si>
  <si>
    <t>All sections combined</t>
  </si>
  <si>
    <t>See Labor_Detail for breakdown</t>
  </si>
  <si>
    <t>Sell Price</t>
  </si>
  <si>
    <t>$66,700 per previous scope</t>
  </si>
  <si>
    <t>Cost basis shown in workbook</t>
  </si>
  <si>
    <t>Line Set Cover</t>
  </si>
  <si>
    <t>PVC line hide at exterior</t>
  </si>
  <si>
    <t>Condenser Mounting</t>
  </si>
  <si>
    <t>Pad or wall bracket at condenser</t>
  </si>
  <si>
    <t>R-13 Batt Insulation - Wall Cavities</t>
  </si>
  <si>
    <t>504 SF exterior wall cavities</t>
  </si>
  <si>
    <t>Air Seal Foam</t>
  </si>
  <si>
    <t>Penetrations and plate lines</t>
  </si>
  <si>
    <t>Drywall 1/2 in - Walls</t>
  </si>
  <si>
    <t>30 sheets walls only</t>
  </si>
  <si>
    <t>Editable Labor Rates</t>
  </si>
  <si>
    <t>Hourly Rate</t>
  </si>
  <si>
    <t>Used For</t>
  </si>
  <si>
    <t>Joint Compound</t>
  </si>
  <si>
    <t>5-gal - 3-coat Level 3</t>
  </si>
  <si>
    <t>Laborer, Carpenter, Painter, Drywall, Flooring, Tile, Cabinet install, countertop/template support</t>
  </si>
  <si>
    <t>Edit B3 only</t>
  </si>
  <si>
    <t>Any row marked Team Lead</t>
  </si>
  <si>
    <t>Edit B4 only</t>
  </si>
  <si>
    <t>Electrician, HVAC Tech, HVAC Helper</t>
  </si>
  <si>
    <t>Locked Template Guide</t>
  </si>
  <si>
    <t>Edit B5 only</t>
  </si>
  <si>
    <t>Plumbing</t>
  </si>
  <si>
    <t>Purpose</t>
  </si>
  <si>
    <t>Use this exact workbook as the anchor template for every basement remodel output.</t>
  </si>
  <si>
    <t>Plumber</t>
  </si>
  <si>
    <t>How to use</t>
  </si>
  <si>
    <t>Edit B6 only</t>
  </si>
  <si>
    <t>1) Upload this template 2) Upload PM intake/validation workbook 3) Upload scope PDF 4) Upload locked prompt 5) Ask AI to populate THIS workbook only.</t>
  </si>
  <si>
    <t>Hard rules</t>
  </si>
  <si>
    <t>Do not rename tabs, do not change summary layout, do not hardcode totals, do not remove labor rate controls.</t>
  </si>
  <si>
    <t>Auto-create sections</t>
  </si>
  <si>
    <t>AI must map scope items into the standard sections listed on Section_Master. Unused sections stay in Summary with zero totals; detail tabs only get rows for relevant sections.</t>
  </si>
  <si>
    <t>Dropdowns</t>
  </si>
  <si>
    <t>Project Manager rows</t>
  </si>
  <si>
    <t>Detail tabs use dropdown lists for Section, Rate Category, Risk Type, and common Units to keep data normalized.</t>
  </si>
  <si>
    <t>Edit B7 only</t>
  </si>
  <si>
    <t>Change order logic</t>
  </si>
  <si>
    <t>Use PM intake scope-alignment flags to note credit opportunities and change-order risks in PM_Notes.</t>
  </si>
  <si>
    <t>Best practice</t>
  </si>
  <si>
    <t>Always upload this template with the prompt so the AI can match structure, formulas, and layout instead of improvising.</t>
  </si>
  <si>
    <t>Drywall Tape</t>
  </si>
  <si>
    <t>Instructions</t>
  </si>
  <si>
    <t>Change any rate in column B and all linked labor rows plus summary labor totals will update.</t>
  </si>
  <si>
    <t>Paper tape</t>
  </si>
  <si>
    <t>Example</t>
  </si>
  <si>
    <t>Set General Labor to 42 to update all General Labor rows everywhere in the workbook.</t>
  </si>
  <si>
    <t>roll</t>
  </si>
  <si>
    <t>Corner Bead</t>
  </si>
  <si>
    <t>Metal - all outside corners</t>
  </si>
  <si>
    <t>Drywall Screws</t>
  </si>
  <si>
    <t>1-5/8 in coarse thread</t>
  </si>
  <si>
    <t>box</t>
  </si>
  <si>
    <t>Sections</t>
  </si>
  <si>
    <t>Final Clean Supplies</t>
  </si>
  <si>
    <t>Rate Categories</t>
  </si>
  <si>
    <t>Broom, bags, blower</t>
  </si>
  <si>
    <t>Risk Types</t>
  </si>
  <si>
    <t>Units</t>
  </si>
  <si>
    <t>Include?</t>
  </si>
  <si>
    <t>General Conditions &amp; Project Management</t>
  </si>
  <si>
    <t>Scope Gap</t>
  </si>
  <si>
    <t>Yes</t>
  </si>
  <si>
    <t>Selective Demolition</t>
  </si>
  <si>
    <t>Change Order Risk</t>
  </si>
  <si>
    <t>No</t>
  </si>
  <si>
    <t>Framing</t>
  </si>
  <si>
    <t>Credit Opportunity</t>
  </si>
  <si>
    <t>Windows &amp; Exterior Openings</t>
  </si>
  <si>
    <t>Existing Conditions</t>
  </si>
  <si>
    <t>Plumbing &amp; Waste Pump System</t>
  </si>
  <si>
    <t>Takeoff Assumption</t>
  </si>
  <si>
    <t>Structural Risk</t>
  </si>
  <si>
    <t>gal</t>
  </si>
  <si>
    <t>HVAC - 3 Zone Mini Split</t>
  </si>
  <si>
    <t>Coordination</t>
  </si>
  <si>
    <t>Insulation &amp; Air Sealing</t>
  </si>
  <si>
    <t>Sequencing</t>
  </si>
  <si>
    <t>Drywall &amp; Finishing</t>
  </si>
  <si>
    <t>Suspended Ceiling System</t>
  </si>
  <si>
    <t>Allowance Risk</t>
  </si>
  <si>
    <t>Interior Doors, Trim &amp; Hardware</t>
  </si>
  <si>
    <t>pair</t>
  </si>
  <si>
    <t>Flooring</t>
  </si>
  <si>
    <t>Painting</t>
  </si>
  <si>
    <t>Master Bathroom</t>
  </si>
  <si>
    <t>Kitchen</t>
  </si>
  <si>
    <t>Cleanup &amp; Closeout</t>
  </si>
  <si>
    <t>Standard Section</t>
  </si>
  <si>
    <t>Default Include</t>
  </si>
  <si>
    <t>Use For / Notes</t>
  </si>
  <si>
    <t>Site setup, PM time, scheduling, protection</t>
  </si>
  <si>
    <t>Selective demo, removals, disposal, concrete sawcut</t>
  </si>
  <si>
    <t>Exterior/interior walls, soffits, chases, blocking</t>
  </si>
  <si>
    <t>New windows, exterior doors, lintels, flashing</t>
  </si>
  <si>
    <t>Bath, kitchen, laundry, below-slab, ejector/pump</t>
  </si>
  <si>
    <t>Subpanel, branch circuits, lighting, devices</t>
  </si>
  <si>
    <t>Mini split or other HVAC equipment and startup</t>
  </si>
  <si>
    <t>Batt, foam, air sealing, sound attenuation</t>
  </si>
  <si>
    <t>Wall board, taping, mud, sanding, access panels</t>
  </si>
  <si>
    <t>Drop ceiling grid, tile, access coordination</t>
  </si>
  <si>
    <t>Interior doors, base, casing, hardware, trim</t>
  </si>
  <si>
    <t>LVP, tile underlayment, transitions, prep</t>
  </si>
  <si>
    <t>Primer, finish paint, trim/door coating</t>
  </si>
  <si>
    <t>Shower, tile, vanity, toilet, bath finishes</t>
  </si>
  <si>
    <t>Cabinets, counters, sink/faucet, appliance set</t>
  </si>
  <si>
    <t>Final clean, punch support, closeout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</si>
</sst>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quot;$&quot;#,##0.00"/>
    <numFmt numFmtId="166" formatCode="$0.00"/>
  </numFmts>
  <fonts count="8">
    <font>
      <sz val="11.0"/>
      <color rgb="FF000000"/>
      <name val="Carlito"/>
      <scheme val="minor"/>
    </font>
    <font>
      <b/>
      <sz val="14.0"/>
      <color rgb="FFFFFFFF"/>
      <name val="Carlito"/>
    </font>
    <font>
      <sz val="11.0"/>
      <color theme="1"/>
      <name val="Carlito"/>
    </font>
    <font>
      <b/>
      <sz val="11.0"/>
      <color rgb="FFFFFFFF"/>
      <name val="Carlito"/>
    </font>
    <font>
      <b/>
      <sz val="11.0"/>
      <color rgb="FF000000"/>
      <name val="Carlito"/>
    </font>
    <font>
      <b/>
      <sz val="11.0"/>
      <color theme="1"/>
      <name val="Carlito"/>
    </font>
    <font>
      <color theme="1"/>
      <name val="Carlito"/>
      <scheme val="minor"/>
    </font>
    <font>
      <b/>
      <sz val="11.0"/>
      <color rgb="FF1F1F1F"/>
      <name val="Carlito"/>
    </font>
  </fonts>
  <fills count="6">
    <fill>
      <patternFill patternType="none"/>
    </fill>
    <fill>
      <patternFill patternType="lightGray"/>
    </fill>
    <fill>
      <patternFill patternType="solid">
        <fgColor rgb="FF1F4E78"/>
        <bgColor rgb="FF1F4E78"/>
      </patternFill>
    </fill>
    <fill>
      <patternFill patternType="solid">
        <fgColor rgb="FF5B9BD5"/>
        <bgColor rgb="FF5B9BD5"/>
      </patternFill>
    </fill>
    <fill>
      <patternFill patternType="solid">
        <fgColor rgb="FFE2F0D9"/>
        <bgColor rgb="FFE2F0D9"/>
      </patternFill>
    </fill>
    <fill>
      <patternFill patternType="solid">
        <fgColor rgb="FFD9EAF7"/>
        <bgColor rgb="FFD9EAF7"/>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vertical="center"/>
    </xf>
    <xf borderId="0" fillId="0" fontId="2" numFmtId="0" xfId="0" applyAlignment="1" applyFont="1">
      <alignment shrinkToFit="0" wrapText="1"/>
    </xf>
    <xf borderId="0" fillId="3" fontId="3" numFmtId="0" xfId="0" applyAlignment="1" applyFill="1" applyFont="1">
      <alignment horizontal="center" readingOrder="0" shrinkToFit="0" vertical="center" wrapText="1"/>
    </xf>
    <xf borderId="0" fillId="4" fontId="4" numFmtId="0" xfId="0" applyAlignment="1" applyFill="1" applyFont="1">
      <alignment horizontal="center" vertical="center"/>
    </xf>
    <xf borderId="0" fillId="0" fontId="2" numFmtId="164" xfId="0" applyFont="1" applyNumberFormat="1"/>
    <xf borderId="0" fillId="0" fontId="5" numFmtId="0" xfId="0" applyAlignment="1" applyFont="1">
      <alignment shrinkToFit="0" wrapText="1"/>
    </xf>
    <xf borderId="0" fillId="4" fontId="4" numFmtId="0" xfId="0" applyAlignment="1" applyFill="1" applyFont="1">
      <alignment horizontal="center" shrinkToFit="0" vertical="center" wrapText="1"/>
    </xf>
    <xf borderId="0" fillId="0" fontId="2" numFmtId="0" xfId="0" applyAlignment="1" applyFont="1">
      <alignment shrinkToFit="0" vertical="center" wrapText="1"/>
    </xf>
    <xf borderId="0" fillId="0" fontId="2" numFmtId="2" xfId="0" applyAlignment="1" applyFont="1" applyNumberFormat="1">
      <alignment shrinkToFit="0" vertical="center" wrapText="1"/>
    </xf>
    <xf borderId="0" fillId="0" fontId="2" numFmtId="1" xfId="0" applyAlignment="1" applyFont="1" applyNumberFormat="1">
      <alignment shrinkToFit="0" wrapText="1"/>
    </xf>
    <xf borderId="0" fillId="0" fontId="2" numFmtId="4" xfId="0" applyAlignment="1" applyFont="1" applyNumberFormat="1">
      <alignment shrinkToFit="0" vertical="center" wrapText="1"/>
    </xf>
    <xf borderId="0" fillId="0" fontId="6" numFmtId="0" xfId="0" applyAlignment="1" applyFont="1">
      <alignment readingOrder="0"/>
    </xf>
    <xf borderId="0" fillId="0" fontId="6" numFmtId="165" xfId="0" applyAlignment="1" applyFont="1" applyNumberFormat="1">
      <alignment readingOrder="0"/>
    </xf>
    <xf borderId="0" fillId="0" fontId="6" numFmtId="165" xfId="0" applyFont="1" applyNumberFormat="1"/>
    <xf borderId="0" fillId="0" fontId="2" numFmtId="164" xfId="0" applyAlignment="1" applyFont="1" applyNumberFormat="1">
      <alignment shrinkToFit="0" vertical="center" wrapText="1"/>
    </xf>
    <xf borderId="0" fillId="0" fontId="2" numFmtId="166" xfId="0" applyAlignment="1" applyFont="1" applyNumberFormat="1">
      <alignment shrinkToFit="0" vertical="center" wrapText="1"/>
    </xf>
    <xf borderId="0" fillId="0" fontId="6" numFmtId="10" xfId="0" applyFont="1" applyNumberFormat="1"/>
    <xf borderId="0" fillId="0" fontId="2" numFmtId="9" xfId="0" applyAlignment="1" applyFont="1" applyNumberFormat="1">
      <alignment shrinkToFit="0" vertical="center" wrapText="1"/>
    </xf>
    <xf borderId="0" fillId="5" fontId="4" numFmtId="0" xfId="0" applyAlignment="1" applyFill="1" applyFont="1">
      <alignment horizontal="center" shrinkToFit="0" vertical="center" wrapText="1"/>
    </xf>
    <xf borderId="0" fillId="5" fontId="4" numFmtId="4" xfId="0" applyAlignment="1" applyFill="1" applyFont="1" applyNumberFormat="1">
      <alignment horizontal="center" shrinkToFit="0" vertical="center" wrapText="1"/>
    </xf>
    <xf borderId="0" fillId="5" fontId="4" numFmtId="164" xfId="0" applyAlignment="1" applyFill="1" applyFont="1" applyNumberFormat="1">
      <alignment horizontal="center" shrinkToFit="0" vertical="center" wrapText="1"/>
    </xf>
    <xf borderId="0" fillId="0" fontId="6" numFmtId="0" xfId="0" applyFont="1"/>
    <xf borderId="0" fillId="3" fontId="3" numFmtId="0" xfId="0" applyAlignment="1" applyFill="1" applyFont="1">
      <alignment horizontal="center" shrinkToFit="0" vertical="center" wrapText="1"/>
    </xf>
    <xf borderId="0" fillId="0" fontId="2" numFmtId="166" xfId="0" applyAlignment="1" applyFont="1" applyNumberFormat="1">
      <alignment shrinkToFit="0" wrapText="1"/>
    </xf>
    <xf borderId="0" fillId="5" fontId="7" numFmtId="0" xfId="0" applyFill="1" applyFont="1"/>
    <xf borderId="0" fillId="5" fontId="4" numFmtId="2" xfId="0" applyAlignment="1" applyFill="1" applyFont="1" applyNumberFormat="1">
      <alignment horizontal="center" shrinkToFit="0" vertical="center" wrapText="1"/>
    </xf>
    <xf borderId="0" fillId="5" fontId="4" numFmtId="166" xfId="0" applyAlignment="1" applyFill="1" applyFont="1" applyNumberFormat="1">
      <alignment horizontal="center" shrinkToFit="0" vertical="center" wrapText="1"/>
    </xf>
    <xf borderId="0" fillId="2" fontId="3" numFmtId="0" xfId="0" applyAlignment="1" applyFill="1" applyFont="1">
      <alignment horizontal="center" vertical="center"/>
    </xf>
    <xf borderId="0" fillId="5" fontId="4" numFmtId="9" xfId="0" applyAlignment="1" applyFill="1" applyFont="1" applyNumberFormat="1">
      <alignment horizontal="center"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5">
    <tableStyle count="4" pivot="0" name="Labor_Detail-style">
      <tableStyleElement dxfId="1" type="headerRow"/>
      <tableStyleElement dxfId="2" type="firstRowStripe"/>
      <tableStyleElement dxfId="3" type="secondRowStripe"/>
      <tableStyleElement dxfId="4" size="0" type="wholeTable"/>
    </tableStyle>
    <tableStyle count="4" pivot="0" name="Summary-style">
      <tableStyleElement dxfId="1" type="headerRow"/>
      <tableStyleElement dxfId="2" type="firstRowStripe"/>
      <tableStyleElement dxfId="3" type="secondRowStripe"/>
      <tableStyleElement dxfId="4" size="0" type="wholeTable"/>
    </tableStyle>
    <tableStyle count="4" pivot="0" name="Equipment_Detail-style">
      <tableStyleElement dxfId="1" type="headerRow"/>
      <tableStyleElement dxfId="2" type="firstRowStripe"/>
      <tableStyleElement dxfId="3" type="secondRowStripe"/>
      <tableStyleElement dxfId="4" size="0" type="wholeTable"/>
    </tableStyle>
    <tableStyle count="4" pivot="0" name="Material_Detail-style">
      <tableStyleElement dxfId="1" type="headerRow"/>
      <tableStyleElement dxfId="2" type="firstRowStripe"/>
      <tableStyleElement dxfId="3" type="secondRowStripe"/>
      <tableStyleElement dxfId="4" size="0" type="wholeTable"/>
    </tableStyle>
    <tableStyle count="4" pivot="0" name="PM_Not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0:F27" displayName="SummaryTable" name="SummaryTable" id="2">
  <tableColumns count="6">
    <tableColumn name="Section" id="1"/>
    <tableColumn name="Labor Cost" id="2"/>
    <tableColumn name="Material Cost" id="3"/>
    <tableColumn name="Equipment Cost" id="4"/>
    <tableColumn name="Section Total" id="5"/>
    <tableColumn name="Labor Hours" id="6"/>
  </tableColumns>
  <tableStyleInfo name="Summary-style" showColumnStripes="0" showFirstColumn="1" showLastColumn="1" showRowStripes="1"/>
</table>
</file>

<file path=xl/tables/table2.xml><?xml version="1.0" encoding="utf-8"?>
<table xmlns="http://schemas.openxmlformats.org/spreadsheetml/2006/main" ref="A1:F52" displayName="LaborTable" name="LaborTable" id="1">
  <tableColumns count="6">
    <tableColumn name="Section" id="1"/>
    <tableColumn name="Trade Role" id="2"/>
    <tableColumn name="Hours" id="3"/>
    <tableColumn name="Rate" id="4"/>
    <tableColumn name="Labor Cost" id="5"/>
    <tableColumn name="Notes" id="6"/>
  </tableColumns>
  <tableStyleInfo name="Labor_Detail-style" showColumnStripes="0" showFirstColumn="1" showLastColumn="1" showRowStripes="1"/>
</table>
</file>

<file path=xl/tables/table3.xml><?xml version="1.0" encoding="utf-8"?>
<table xmlns="http://schemas.openxmlformats.org/spreadsheetml/2006/main" ref="A1:I86" displayName="MaterialTable" name="MaterialTable" id="4">
  <tableColumns count="9">
    <tableColumn name="Section" id="1"/>
    <tableColumn name="Material" id="2"/>
    <tableColumn name="Description" id="3"/>
    <tableColumn name="Quantity" id="4"/>
    <tableColumn name="Unit" id="5"/>
    <tableColumn name="Unit Cost" id="6"/>
    <tableColumn name="Waste Factor" id="7"/>
    <tableColumn name="Line Total" id="8"/>
    <tableColumn name="Notes" id="9"/>
  </tableColumns>
  <tableStyleInfo name="Material_Detail-style" showColumnStripes="0" showFirstColumn="1" showLastColumn="1" showRowStripes="1"/>
</table>
</file>

<file path=xl/tables/table4.xml><?xml version="1.0" encoding="utf-8"?>
<table xmlns="http://schemas.openxmlformats.org/spreadsheetml/2006/main" ref="A1:G11" displayName="EquipmentTable" name="EquipmentTable" id="3">
  <tableColumns count="7">
    <tableColumn name="Section" id="1"/>
    <tableColumn name="Equipment or Misc Item" id="2"/>
    <tableColumn name="Quantity" id="3"/>
    <tableColumn name="Unit" id="4"/>
    <tableColumn name="Unit Cost" id="5"/>
    <tableColumn name="Line Total" id="6"/>
    <tableColumn name="Notes" id="7"/>
  </tableColumns>
  <tableStyleInfo name="Equipment_Detail-style" showColumnStripes="0" showFirstColumn="1" showLastColumn="1" showRowStripes="1"/>
</table>
</file>

<file path=xl/tables/table5.xml><?xml version="1.0" encoding="utf-8"?>
<table xmlns="http://schemas.openxmlformats.org/spreadsheetml/2006/main" ref="A1:D17" displayName="PMNotesTable" name="PMNotesTable" id="5">
  <tableColumns count="4">
    <tableColumn name="Section" id="1"/>
    <tableColumn name="Risk Type" id="2"/>
    <tableColumn name="Issue" id="3"/>
    <tableColumn name="PM Recommendation" id="4"/>
  </tableColumns>
  <tableStyleInfo name="PM_No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0"/>
    <col customWidth="1" min="2" max="6" width="14.0"/>
    <col customWidth="1" min="7" max="9" width="8.63"/>
    <col customWidth="1" min="10" max="11" width="16.0"/>
    <col customWidth="1" min="12" max="26" width="8.63"/>
  </cols>
  <sheetData>
    <row r="1" ht="16.5" customHeight="1">
      <c r="A1" s="1" t="s">
        <v>1</v>
      </c>
      <c r="J1" s="2" t="s">
        <v>2</v>
      </c>
    </row>
    <row r="2" ht="16.5" customHeight="1">
      <c r="A2" s="3"/>
      <c r="B2" s="3"/>
      <c r="C2" s="3"/>
      <c r="D2" s="3"/>
      <c r="E2" s="3"/>
      <c r="F2" s="3"/>
      <c r="J2" s="5" t="s">
        <v>4</v>
      </c>
      <c r="K2" s="6">
        <f>SUM(B11:B26)</f>
        <v>16073.71</v>
      </c>
    </row>
    <row r="3" ht="16.5" customHeight="1">
      <c r="A3" s="8" t="s">
        <v>13</v>
      </c>
      <c r="B3" s="3" t="s">
        <v>15</v>
      </c>
      <c r="C3" s="3"/>
      <c r="D3" s="3"/>
      <c r="E3" s="3"/>
      <c r="F3" s="3"/>
      <c r="J3" s="5" t="s">
        <v>16</v>
      </c>
      <c r="K3" s="6">
        <f>SUM(C11:C26)</f>
        <v>19716.087</v>
      </c>
    </row>
    <row r="4" ht="16.5" customHeight="1">
      <c r="A4" s="8" t="s">
        <v>19</v>
      </c>
      <c r="B4" s="3" t="s">
        <v>20</v>
      </c>
      <c r="C4" s="3"/>
      <c r="D4" s="3"/>
      <c r="E4" s="3"/>
      <c r="F4" s="3"/>
      <c r="J4" s="5" t="s">
        <v>22</v>
      </c>
      <c r="K4" s="6">
        <f>SUM(D11:D26)</f>
        <v>1805</v>
      </c>
    </row>
    <row r="5" ht="16.5" customHeight="1">
      <c r="A5" s="8" t="s">
        <v>25</v>
      </c>
      <c r="B5" s="3" t="s">
        <v>27</v>
      </c>
      <c r="C5" s="3"/>
      <c r="D5" s="3"/>
      <c r="E5" s="3"/>
      <c r="F5" s="3"/>
      <c r="J5" s="5" t="s">
        <v>28</v>
      </c>
      <c r="K5" s="6">
        <f>SUM(E11:E26)</f>
        <v>37594.797</v>
      </c>
    </row>
    <row r="6" ht="16.5" customHeight="1">
      <c r="A6" s="8" t="s">
        <v>29</v>
      </c>
      <c r="B6" s="11">
        <v>430.0</v>
      </c>
      <c r="C6" s="3"/>
      <c r="D6" s="3"/>
      <c r="E6" s="3"/>
      <c r="F6" s="3"/>
      <c r="J6" s="13" t="s">
        <v>30</v>
      </c>
      <c r="K6" s="14">
        <v>66200.0</v>
      </c>
    </row>
    <row r="7" ht="16.5" customHeight="1">
      <c r="A7" s="8" t="s">
        <v>31</v>
      </c>
      <c r="B7" s="3">
        <v>8.0</v>
      </c>
      <c r="C7" s="3"/>
      <c r="D7" s="3"/>
      <c r="E7" s="3"/>
      <c r="F7" s="3"/>
      <c r="K7" s="15"/>
    </row>
    <row r="8" ht="16.5" customHeight="1">
      <c r="A8" s="8" t="s">
        <v>33</v>
      </c>
      <c r="B8" s="3" t="s">
        <v>34</v>
      </c>
      <c r="C8" s="3"/>
      <c r="D8" s="3"/>
      <c r="E8" s="3"/>
      <c r="F8" s="3"/>
      <c r="J8" s="13" t="s">
        <v>35</v>
      </c>
      <c r="K8" s="15">
        <f>K6-K5</f>
        <v>28605.203</v>
      </c>
    </row>
    <row r="9" ht="16.5" customHeight="1">
      <c r="A9" s="3"/>
      <c r="B9" s="3"/>
      <c r="C9" s="3"/>
      <c r="D9" s="3"/>
      <c r="E9" s="3"/>
      <c r="F9" s="3"/>
      <c r="J9" s="13" t="s">
        <v>37</v>
      </c>
      <c r="K9" s="18">
        <f>K8/K6</f>
        <v>0.4321027644</v>
      </c>
    </row>
    <row r="10" ht="16.5" customHeight="1">
      <c r="A10" s="4" t="s">
        <v>0</v>
      </c>
      <c r="B10" s="4" t="s">
        <v>4</v>
      </c>
      <c r="C10" s="4" t="s">
        <v>16</v>
      </c>
      <c r="D10" s="4" t="s">
        <v>22</v>
      </c>
      <c r="E10" s="4" t="s">
        <v>41</v>
      </c>
      <c r="F10" s="4" t="s">
        <v>42</v>
      </c>
    </row>
    <row r="11" ht="16.5" customHeight="1">
      <c r="A11" s="9" t="s">
        <v>17</v>
      </c>
      <c r="B11" s="17">
        <f>SUMIF(Labor_Detail!$A:$A,A11,Labor_Detail!$E:$E)</f>
        <v>1373.96</v>
      </c>
      <c r="C11" s="17">
        <f>SUMIF(Material_Detail!$A:$A,A11,Material_Detail!$H:$H)</f>
        <v>1140</v>
      </c>
      <c r="D11" s="17">
        <f>SUMIF(Equipment_Detail!$A:$A,A11,Equipment_Detail!$F:$F)</f>
        <v>0</v>
      </c>
      <c r="E11" s="17">
        <f t="shared" ref="E11:E26" si="1">SUM(B11:D11)</f>
        <v>2513.96</v>
      </c>
      <c r="F11" s="10">
        <f>SUMIF(Labor_Detail!$A:$A,A11,Labor_Detail!$C:$C)</f>
        <v>36</v>
      </c>
    </row>
    <row r="12" ht="16.5" customHeight="1">
      <c r="A12" s="9" t="s">
        <v>23</v>
      </c>
      <c r="B12" s="17">
        <f>SUMIF(Labor_Detail!$A:$A,A12,Labor_Detail!$E:$E)</f>
        <v>1670</v>
      </c>
      <c r="C12" s="17">
        <f>SUMIF(Material_Detail!$A:$A,A12,Material_Detail!$H:$H)</f>
        <v>1470</v>
      </c>
      <c r="D12" s="17">
        <f>SUMIF(Equipment_Detail!$A:$A,A12,Equipment_Detail!$F:$F)</f>
        <v>1350</v>
      </c>
      <c r="E12" s="17">
        <f t="shared" si="1"/>
        <v>4490</v>
      </c>
      <c r="F12" s="10">
        <f>SUMIF(Labor_Detail!$A:$A,A12,Labor_Detail!$C:$C)</f>
        <v>48</v>
      </c>
    </row>
    <row r="13" ht="16.5" customHeight="1">
      <c r="A13" s="9" t="s">
        <v>43</v>
      </c>
      <c r="B13" s="17">
        <f>SUMIF(Labor_Detail!$A:$A,A13,Labor_Detail!$E:$E)</f>
        <v>1524.1</v>
      </c>
      <c r="C13" s="17">
        <f>SUMIF(Material_Detail!$A:$A,A13,Material_Detail!$H:$H)</f>
        <v>2406.16</v>
      </c>
      <c r="D13" s="17">
        <f>SUMIF(Equipment_Detail!$A:$A,A13,Equipment_Detail!$F:$F)</f>
        <v>95</v>
      </c>
      <c r="E13" s="17">
        <f t="shared" si="1"/>
        <v>4025.26</v>
      </c>
      <c r="F13" s="10">
        <f>SUMIF(Labor_Detail!$A:$A,A13,Labor_Detail!$C:$C)</f>
        <v>44</v>
      </c>
    </row>
    <row r="14" ht="16.5" customHeight="1">
      <c r="A14" s="9" t="s">
        <v>51</v>
      </c>
      <c r="B14" s="17">
        <f>SUMIF(Labor_Detail!$A:$A,A14,Labor_Detail!$E:$E)</f>
        <v>2994.05</v>
      </c>
      <c r="C14" s="17">
        <f>SUMIF(Material_Detail!$A:$A,A14,Material_Detail!$H:$H)</f>
        <v>3917.7</v>
      </c>
      <c r="D14" s="17">
        <f>SUMIF(Equipment_Detail!$A:$A,A14,Equipment_Detail!$F:$F)</f>
        <v>360</v>
      </c>
      <c r="E14" s="17">
        <f t="shared" si="1"/>
        <v>7271.75</v>
      </c>
      <c r="F14" s="10">
        <f>SUMIF(Labor_Detail!$A:$A,A14,Labor_Detail!$C:$C)</f>
        <v>87</v>
      </c>
    </row>
    <row r="15" ht="16.5" customHeight="1">
      <c r="A15" s="9" t="s">
        <v>65</v>
      </c>
      <c r="B15" s="17">
        <f>SUMIF(Labor_Detail!$A:$A,A15,Labor_Detail!$E:$E)</f>
        <v>2382.95</v>
      </c>
      <c r="C15" s="17">
        <f>SUMIF(Material_Detail!$A:$A,A15,Material_Detail!$H:$H)</f>
        <v>2475.75</v>
      </c>
      <c r="D15" s="17">
        <f>SUMIF(Equipment_Detail!$A:$A,A15,Equipment_Detail!$F:$F)</f>
        <v>0</v>
      </c>
      <c r="E15" s="17">
        <f t="shared" si="1"/>
        <v>4858.7</v>
      </c>
      <c r="F15" s="10">
        <f>SUMIF(Labor_Detail!$A:$A,A15,Labor_Detail!$C:$C)</f>
        <v>69</v>
      </c>
    </row>
    <row r="16" ht="16.5" customHeight="1">
      <c r="A16" s="9" t="s">
        <v>69</v>
      </c>
      <c r="B16" s="17">
        <f>SUMIF(Labor_Detail!$A:$A,A16,Labor_Detail!$E:$E)</f>
        <v>665.25</v>
      </c>
      <c r="C16" s="17">
        <f>SUMIF(Material_Detail!$A:$A,A16,Material_Detail!$H:$H)</f>
        <v>2450</v>
      </c>
      <c r="D16" s="17">
        <f>SUMIF(Equipment_Detail!$A:$A,A16,Equipment_Detail!$F:$F)</f>
        <v>0</v>
      </c>
      <c r="E16" s="17">
        <f t="shared" si="1"/>
        <v>3115.25</v>
      </c>
      <c r="F16" s="10">
        <f>SUMIF(Labor_Detail!$A:$A,A16,Labor_Detail!$C:$C)</f>
        <v>19</v>
      </c>
    </row>
    <row r="17" ht="16.5" customHeight="1">
      <c r="A17" s="9" t="s">
        <v>74</v>
      </c>
      <c r="B17" s="17">
        <f>SUMIF(Labor_Detail!$A:$A,A17,Labor_Detail!$E:$E)</f>
        <v>845.1</v>
      </c>
      <c r="C17" s="17">
        <f>SUMIF(Material_Detail!$A:$A,A17,Material_Detail!$H:$H)</f>
        <v>407</v>
      </c>
      <c r="D17" s="17">
        <f>SUMIF(Equipment_Detail!$A:$A,A17,Equipment_Detail!$F:$F)</f>
        <v>0</v>
      </c>
      <c r="E17" s="17">
        <f t="shared" si="1"/>
        <v>1252.1</v>
      </c>
      <c r="F17" s="10">
        <f>SUMIF(Labor_Detail!$A:$A,A17,Labor_Detail!$C:$C)</f>
        <v>24</v>
      </c>
    </row>
    <row r="18" ht="16.5" customHeight="1">
      <c r="A18" s="9" t="s">
        <v>82</v>
      </c>
      <c r="B18" s="17">
        <f>SUMIF(Labor_Detail!$A:$A,A18,Labor_Detail!$E:$E)</f>
        <v>1560</v>
      </c>
      <c r="C18" s="17">
        <f>SUMIF(Material_Detail!$A:$A,A18,Material_Detail!$H:$H)</f>
        <v>1701.425</v>
      </c>
      <c r="D18" s="17">
        <f>SUMIF(Equipment_Detail!$A:$A,A18,Equipment_Detail!$F:$F)</f>
        <v>0</v>
      </c>
      <c r="E18" s="17">
        <f t="shared" si="1"/>
        <v>3261.425</v>
      </c>
      <c r="F18" s="10">
        <f>SUMIF(Labor_Detail!$A:$A,A18,Labor_Detail!$C:$C)</f>
        <v>40</v>
      </c>
    </row>
    <row r="19" ht="16.5" customHeight="1">
      <c r="A19" s="9" t="s">
        <v>87</v>
      </c>
      <c r="B19" s="17">
        <f>SUMIF(Labor_Detail!$A:$A,A19,Labor_Detail!$E:$E)</f>
        <v>390</v>
      </c>
      <c r="C19" s="17">
        <f>SUMIF(Material_Detail!$A:$A,A19,Material_Detail!$H:$H)</f>
        <v>2645</v>
      </c>
      <c r="D19" s="17">
        <f>SUMIF(Equipment_Detail!$A:$A,A19,Equipment_Detail!$F:$F)</f>
        <v>0</v>
      </c>
      <c r="E19" s="17">
        <f t="shared" si="1"/>
        <v>3035</v>
      </c>
      <c r="F19" s="10">
        <f>SUMIF(Labor_Detail!$A:$A,A19,Labor_Detail!$C:$C)</f>
        <v>10</v>
      </c>
    </row>
    <row r="20" ht="16.5" customHeight="1">
      <c r="A20" s="9" t="s">
        <v>94</v>
      </c>
      <c r="B20" s="17">
        <f>SUMIF(Labor_Detail!$A:$A,A20,Labor_Detail!$E:$E)</f>
        <v>237.65</v>
      </c>
      <c r="C20" s="17">
        <f>SUMIF(Material_Detail!$A:$A,A20,Material_Detail!$H:$H)</f>
        <v>356.552</v>
      </c>
      <c r="D20" s="17">
        <f>SUMIF(Equipment_Detail!$A:$A,A20,Equipment_Detail!$F:$F)</f>
        <v>0</v>
      </c>
      <c r="E20" s="17">
        <f t="shared" si="1"/>
        <v>594.202</v>
      </c>
      <c r="F20" s="10">
        <f>SUMIF(Labor_Detail!$A:$A,A20,Labor_Detail!$C:$C)</f>
        <v>7</v>
      </c>
    </row>
    <row r="21" ht="16.5" customHeight="1">
      <c r="A21" s="9" t="s">
        <v>98</v>
      </c>
      <c r="B21" s="17">
        <f>SUMIF(Labor_Detail!$A:$A,A21,Labor_Detail!$E:$E)</f>
        <v>2226.95</v>
      </c>
      <c r="C21" s="17">
        <f>SUMIF(Material_Detail!$A:$A,A21,Material_Detail!$H:$H)</f>
        <v>701.5</v>
      </c>
      <c r="D21" s="17">
        <f>SUMIF(Equipment_Detail!$A:$A,A21,Equipment_Detail!$F:$F)</f>
        <v>0</v>
      </c>
      <c r="E21" s="17">
        <f t="shared" si="1"/>
        <v>2928.45</v>
      </c>
      <c r="F21" s="10">
        <f>SUMIF(Labor_Detail!$A:$A,A21,Labor_Detail!$C:$C)</f>
        <v>65</v>
      </c>
    </row>
    <row r="22" ht="16.5" customHeight="1">
      <c r="A22" s="9" t="s">
        <v>102</v>
      </c>
      <c r="B22" s="17">
        <f>SUMIF(Labor_Detail!$A:$A,A22,Labor_Detail!$E:$E)</f>
        <v>203.7</v>
      </c>
      <c r="C22" s="17">
        <f>SUMIF(Material_Detail!$A:$A,A22,Material_Detail!$H:$H)</f>
        <v>45</v>
      </c>
      <c r="D22" s="17">
        <f>SUMIF(Equipment_Detail!$A:$A,A22,Equipment_Detail!$F:$F)</f>
        <v>0</v>
      </c>
      <c r="E22" s="17">
        <f t="shared" si="1"/>
        <v>248.7</v>
      </c>
      <c r="F22" s="10">
        <f>SUMIF(Labor_Detail!$A:$A,A22,Labor_Detail!$C:$C)</f>
        <v>6</v>
      </c>
    </row>
    <row r="23" ht="16.5" customHeight="1">
      <c r="A23" s="9" t="s">
        <v>105</v>
      </c>
      <c r="B23" s="17">
        <f>SUMIF(Labor_Detail!$A:$A,A23,Labor_Detail!$E:$E)</f>
        <v>0</v>
      </c>
      <c r="C23" s="17">
        <f>SUMIF(Material_Detail!$A:$A,A23,Material_Detail!$H:$H)</f>
        <v>0</v>
      </c>
      <c r="D23" s="17">
        <f>SUMIF(Equipment_Detail!$A:$A,A23,Equipment_Detail!$F:$F)</f>
        <v>0</v>
      </c>
      <c r="E23" s="17">
        <f t="shared" si="1"/>
        <v>0</v>
      </c>
      <c r="F23" s="10">
        <f>SUMIF(Labor_Detail!$A:$A,A23,Labor_Detail!$C:$C)</f>
        <v>0</v>
      </c>
    </row>
    <row r="24" ht="16.5" customHeight="1">
      <c r="A24" s="9" t="s">
        <v>105</v>
      </c>
      <c r="B24" s="17">
        <f>SUMIF(Labor_Detail!$A:$A,A24,Labor_Detail!$E:$E)</f>
        <v>0</v>
      </c>
      <c r="C24" s="17">
        <f>SUMIF(Material_Detail!$A:$A,A24,Material_Detail!$H:$H)</f>
        <v>0</v>
      </c>
      <c r="D24" s="17">
        <f>SUMIF(Equipment_Detail!$A:$A,A24,Equipment_Detail!$F:$F)</f>
        <v>0</v>
      </c>
      <c r="E24" s="17">
        <f t="shared" si="1"/>
        <v>0</v>
      </c>
      <c r="F24" s="10">
        <f>SUMIF(Labor_Detail!$A:$A,A24,Labor_Detail!$C:$C)</f>
        <v>0</v>
      </c>
    </row>
    <row r="25" ht="16.5" customHeight="1">
      <c r="A25" s="9" t="s">
        <v>105</v>
      </c>
      <c r="B25" s="17">
        <f>SUMIF(Labor_Detail!$A:$A,A25,Labor_Detail!$E:$E)</f>
        <v>0</v>
      </c>
      <c r="C25" s="17">
        <f>SUMIF(Material_Detail!$A:$A,A25,Material_Detail!$H:$H)</f>
        <v>0</v>
      </c>
      <c r="D25" s="17">
        <f>SUMIF(Equipment_Detail!$A:$A,A25,Equipment_Detail!$F:$F)</f>
        <v>0</v>
      </c>
      <c r="E25" s="17">
        <f t="shared" si="1"/>
        <v>0</v>
      </c>
      <c r="F25" s="10">
        <f>SUMIF(Labor_Detail!$A:$A,A25,Labor_Detail!$C:$C)</f>
        <v>0</v>
      </c>
    </row>
    <row r="26" ht="16.5" customHeight="1">
      <c r="A26" s="9" t="s">
        <v>105</v>
      </c>
      <c r="B26" s="17">
        <f>SUMIF(Labor_Detail!$A:$A,A26,Labor_Detail!$E:$E)</f>
        <v>0</v>
      </c>
      <c r="C26" s="17">
        <f>SUMIF(Material_Detail!$A:$A,A26,Material_Detail!$H:$H)</f>
        <v>0</v>
      </c>
      <c r="D26" s="17">
        <f>SUMIF(Equipment_Detail!$A:$A,A26,Equipment_Detail!$F:$F)</f>
        <v>0</v>
      </c>
      <c r="E26" s="17">
        <f t="shared" si="1"/>
        <v>0</v>
      </c>
      <c r="F26" s="10">
        <f>SUMIF(Labor_Detail!$A:$A,A26,Labor_Detail!$C:$C)</f>
        <v>0</v>
      </c>
    </row>
    <row r="27" ht="16.5" customHeight="1">
      <c r="A27" s="20" t="s">
        <v>122</v>
      </c>
      <c r="B27" s="22">
        <f t="shared" ref="B27:F27" si="2">SUM(B11:B26)</f>
        <v>16073.71</v>
      </c>
      <c r="C27" s="22">
        <f t="shared" si="2"/>
        <v>19716.087</v>
      </c>
      <c r="D27" s="22">
        <f t="shared" si="2"/>
        <v>1805</v>
      </c>
      <c r="E27" s="22">
        <f t="shared" si="2"/>
        <v>37594.797</v>
      </c>
      <c r="F27" s="21">
        <f t="shared" si="2"/>
        <v>455</v>
      </c>
    </row>
    <row r="28" ht="16.5" customHeight="1">
      <c r="A28" s="3"/>
      <c r="B28" s="3"/>
      <c r="C28" s="3"/>
      <c r="D28" s="3"/>
      <c r="E28" s="3"/>
      <c r="F28" s="3"/>
    </row>
    <row r="29" ht="16.5" customHeight="1">
      <c r="A29" s="3"/>
      <c r="B29" s="3"/>
      <c r="C29" s="3"/>
      <c r="D29" s="3"/>
      <c r="E29" s="3"/>
      <c r="F29" s="3"/>
    </row>
    <row r="30" ht="16.5" customHeight="1">
      <c r="A30" s="3"/>
      <c r="B30" s="3"/>
      <c r="C30" s="3"/>
      <c r="D30" s="3"/>
      <c r="E30" s="3"/>
      <c r="F30" s="3"/>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J1:K1"/>
  </mergeCells>
  <conditionalFormatting sqref="B11:D26">
    <cfRule type="colorScale" priority="1">
      <colorScale>
        <cfvo type="min"/>
        <cfvo type="percentile" val="50"/>
        <cfvo type="max"/>
        <color rgb="FFFEE2E2"/>
        <color rgb="FFFEF3C7"/>
        <color rgb="FFDCFCE7"/>
      </colorScale>
    </cfRule>
  </conditionalFormatting>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0"/>
    <col customWidth="1" min="2" max="2" width="20.0"/>
    <col customWidth="1" min="3" max="5" width="12.0"/>
    <col customWidth="1" min="6" max="6" width="42.0"/>
    <col customWidth="1" min="7" max="7" width="18.0"/>
    <col customWidth="1" min="8" max="26" width="8.63"/>
  </cols>
  <sheetData>
    <row r="1" ht="16.5" customHeight="1">
      <c r="A1" s="4" t="s">
        <v>0</v>
      </c>
      <c r="B1" s="4" t="s">
        <v>3</v>
      </c>
      <c r="C1" s="4" t="s">
        <v>6</v>
      </c>
      <c r="D1" s="4" t="s">
        <v>8</v>
      </c>
      <c r="E1" s="4" t="s">
        <v>4</v>
      </c>
      <c r="F1" s="4" t="s">
        <v>11</v>
      </c>
      <c r="G1" s="7" t="s">
        <v>12</v>
      </c>
    </row>
    <row r="2" ht="16.5" customHeight="1">
      <c r="A2" s="9" t="s">
        <v>17</v>
      </c>
      <c r="B2" s="9" t="s">
        <v>18</v>
      </c>
      <c r="C2" s="10">
        <v>8.0</v>
      </c>
      <c r="D2" s="17">
        <f t="array" ref="D2">IF(OR($A2="",$G2=""),"",_xlfn.XLOOKUP($G2,Labor_Rates!$A$3:$A$7,Labor_Rates!$B$3:$B$7))</f>
        <v>47.87</v>
      </c>
      <c r="E2" s="17">
        <f t="shared" ref="E2:E300" si="1">IF(OR($A2="",$C2="",$D2=""),"",$C2*$D2)</f>
        <v>382.96</v>
      </c>
      <c r="F2" s="9" t="s">
        <v>38</v>
      </c>
      <c r="G2" s="3" t="s">
        <v>18</v>
      </c>
    </row>
    <row r="3" ht="16.5" customHeight="1">
      <c r="A3" s="9" t="s">
        <v>17</v>
      </c>
      <c r="B3" s="9" t="s">
        <v>45</v>
      </c>
      <c r="C3" s="10">
        <v>8.0</v>
      </c>
      <c r="D3" s="17">
        <f t="array" ref="D3">IF(OR($A3="",$G3=""),"",_xlfn.XLOOKUP($G3,Labor_Rates!$A$3:$A$7,Labor_Rates!$B$3:$B$7))</f>
        <v>39</v>
      </c>
      <c r="E3" s="17">
        <f t="shared" si="1"/>
        <v>312</v>
      </c>
      <c r="F3" s="9" t="s">
        <v>50</v>
      </c>
      <c r="G3" s="3" t="s">
        <v>45</v>
      </c>
    </row>
    <row r="4" ht="16.5" customHeight="1">
      <c r="A4" s="9" t="s">
        <v>17</v>
      </c>
      <c r="B4" s="9" t="s">
        <v>53</v>
      </c>
      <c r="C4" s="10">
        <v>20.0</v>
      </c>
      <c r="D4" s="17">
        <f t="array" ref="D4">IF(OR($A4="",$G4=""),"",_xlfn.XLOOKUP($G4,Labor_Rates!$A$3:$A$7,Labor_Rates!$B$3:$B$7))</f>
        <v>33.95</v>
      </c>
      <c r="E4" s="17">
        <f t="shared" si="1"/>
        <v>679</v>
      </c>
      <c r="F4" s="9" t="s">
        <v>55</v>
      </c>
      <c r="G4" s="3" t="s">
        <v>53</v>
      </c>
    </row>
    <row r="5" ht="16.5" customHeight="1">
      <c r="A5" s="9" t="s">
        <v>23</v>
      </c>
      <c r="B5" s="9" t="s">
        <v>45</v>
      </c>
      <c r="C5" s="10">
        <v>8.0</v>
      </c>
      <c r="D5" s="17">
        <f t="array" ref="D5">IF(OR($A5="",$G5=""),"",_xlfn.XLOOKUP($G5,Labor_Rates!$A$3:$A$7,Labor_Rates!$B$3:$B$7))</f>
        <v>39</v>
      </c>
      <c r="E5" s="17">
        <f t="shared" si="1"/>
        <v>312</v>
      </c>
      <c r="F5" s="9" t="s">
        <v>58</v>
      </c>
      <c r="G5" s="3" t="s">
        <v>45</v>
      </c>
    </row>
    <row r="6" ht="16.5" customHeight="1">
      <c r="A6" s="9" t="s">
        <v>23</v>
      </c>
      <c r="B6" s="9" t="s">
        <v>53</v>
      </c>
      <c r="C6" s="10">
        <v>40.0</v>
      </c>
      <c r="D6" s="17">
        <f t="array" ref="D6">IF(OR($A6="",$G6=""),"",_xlfn.XLOOKUP($G6,Labor_Rates!$A$3:$A$7,Labor_Rates!$B$3:$B$7))</f>
        <v>33.95</v>
      </c>
      <c r="E6" s="17">
        <f t="shared" si="1"/>
        <v>1358</v>
      </c>
      <c r="F6" s="9" t="s">
        <v>62</v>
      </c>
      <c r="G6" s="3" t="s">
        <v>53</v>
      </c>
    </row>
    <row r="7" ht="16.5" customHeight="1">
      <c r="A7" s="9" t="s">
        <v>43</v>
      </c>
      <c r="B7" s="9" t="s">
        <v>45</v>
      </c>
      <c r="C7" s="10">
        <v>6.0</v>
      </c>
      <c r="D7" s="17">
        <f t="array" ref="D7">IF(OR($A7="",$G7=""),"",_xlfn.XLOOKUP($G7,Labor_Rates!$A$3:$A$7,Labor_Rates!$B$3:$B$7))</f>
        <v>39</v>
      </c>
      <c r="E7" s="17">
        <f t="shared" si="1"/>
        <v>234</v>
      </c>
      <c r="F7" s="9" t="s">
        <v>63</v>
      </c>
      <c r="G7" s="3" t="s">
        <v>45</v>
      </c>
    </row>
    <row r="8" ht="16.5" customHeight="1">
      <c r="A8" s="9" t="s">
        <v>43</v>
      </c>
      <c r="B8" s="9" t="s">
        <v>53</v>
      </c>
      <c r="C8" s="10">
        <v>12.0</v>
      </c>
      <c r="D8" s="17">
        <f t="array" ref="D8">IF(OR($A8="",$G8=""),"",_xlfn.XLOOKUP($G8,Labor_Rates!$A$3:$A$7,Labor_Rates!$B$3:$B$7))</f>
        <v>33.95</v>
      </c>
      <c r="E8" s="17">
        <f t="shared" si="1"/>
        <v>407.4</v>
      </c>
      <c r="F8" s="9" t="s">
        <v>67</v>
      </c>
      <c r="G8" s="3" t="s">
        <v>53</v>
      </c>
    </row>
    <row r="9" ht="16.5" customHeight="1">
      <c r="A9" s="9" t="s">
        <v>43</v>
      </c>
      <c r="B9" s="9" t="s">
        <v>53</v>
      </c>
      <c r="C9" s="10">
        <v>4.0</v>
      </c>
      <c r="D9" s="17">
        <f t="array" ref="D9">IF(OR($A9="",$G9=""),"",_xlfn.XLOOKUP($G9,Labor_Rates!$A$3:$A$7,Labor_Rates!$B$3:$B$7))</f>
        <v>33.95</v>
      </c>
      <c r="E9" s="17">
        <f t="shared" si="1"/>
        <v>135.8</v>
      </c>
      <c r="F9" s="9" t="s">
        <v>71</v>
      </c>
      <c r="G9" s="3" t="s">
        <v>53</v>
      </c>
    </row>
    <row r="10" ht="16.5" customHeight="1">
      <c r="A10" s="9" t="s">
        <v>43</v>
      </c>
      <c r="B10" s="9" t="s">
        <v>53</v>
      </c>
      <c r="C10" s="10">
        <v>12.0</v>
      </c>
      <c r="D10" s="17">
        <f t="array" ref="D10">IF(OR($A10="",$G10=""),"",_xlfn.XLOOKUP($G10,Labor_Rates!$A$3:$A$7,Labor_Rates!$B$3:$B$7))</f>
        <v>33.95</v>
      </c>
      <c r="E10" s="17">
        <f t="shared" si="1"/>
        <v>407.4</v>
      </c>
      <c r="F10" s="9" t="s">
        <v>76</v>
      </c>
      <c r="G10" s="3" t="s">
        <v>53</v>
      </c>
    </row>
    <row r="11" ht="16.5" customHeight="1">
      <c r="A11" s="9" t="s">
        <v>43</v>
      </c>
      <c r="B11" s="9" t="s">
        <v>53</v>
      </c>
      <c r="C11" s="10">
        <v>10.0</v>
      </c>
      <c r="D11" s="17">
        <f t="array" ref="D11">IF(OR($A11="",$G11=""),"",_xlfn.XLOOKUP($G11,Labor_Rates!$A$3:$A$7,Labor_Rates!$B$3:$B$7))</f>
        <v>33.95</v>
      </c>
      <c r="E11" s="17">
        <f t="shared" si="1"/>
        <v>339.5</v>
      </c>
      <c r="F11" s="9" t="s">
        <v>81</v>
      </c>
      <c r="G11" s="3" t="s">
        <v>53</v>
      </c>
    </row>
    <row r="12" ht="16.5" customHeight="1">
      <c r="A12" s="9" t="s">
        <v>51</v>
      </c>
      <c r="B12" s="9" t="s">
        <v>45</v>
      </c>
      <c r="C12" s="10">
        <v>8.0</v>
      </c>
      <c r="D12" s="17">
        <f t="array" ref="D12">IF(OR($A12="",$G12=""),"",_xlfn.XLOOKUP($G12,Labor_Rates!$A$3:$A$7,Labor_Rates!$B$3:$B$7))</f>
        <v>39</v>
      </c>
      <c r="E12" s="17">
        <f t="shared" si="1"/>
        <v>312</v>
      </c>
      <c r="F12" s="9" t="s">
        <v>86</v>
      </c>
      <c r="G12" s="3" t="s">
        <v>45</v>
      </c>
    </row>
    <row r="13" ht="16.5" customHeight="1">
      <c r="A13" s="9" t="s">
        <v>51</v>
      </c>
      <c r="B13" s="9" t="s">
        <v>53</v>
      </c>
      <c r="C13" s="10">
        <v>40.0</v>
      </c>
      <c r="D13" s="17">
        <f t="array" ref="D13">IF(OR($A13="",$G13=""),"",_xlfn.XLOOKUP($G13,Labor_Rates!$A$3:$A$7,Labor_Rates!$B$3:$B$7))</f>
        <v>33.95</v>
      </c>
      <c r="E13" s="17">
        <f t="shared" si="1"/>
        <v>1358</v>
      </c>
      <c r="F13" s="9" t="s">
        <v>90</v>
      </c>
      <c r="G13" s="3" t="s">
        <v>53</v>
      </c>
    </row>
    <row r="14" ht="16.5" customHeight="1">
      <c r="A14" s="9" t="s">
        <v>51</v>
      </c>
      <c r="B14" s="9" t="s">
        <v>53</v>
      </c>
      <c r="C14" s="10">
        <v>9.0</v>
      </c>
      <c r="D14" s="17">
        <f t="array" ref="D14">IF(OR($A14="",$G14=""),"",_xlfn.XLOOKUP($G14,Labor_Rates!$A$3:$A$7,Labor_Rates!$B$3:$B$7))</f>
        <v>33.95</v>
      </c>
      <c r="E14" s="17">
        <f t="shared" si="1"/>
        <v>305.55</v>
      </c>
      <c r="F14" s="9" t="s">
        <v>97</v>
      </c>
      <c r="G14" s="3" t="s">
        <v>53</v>
      </c>
    </row>
    <row r="15" ht="16.5" customHeight="1">
      <c r="A15" s="9" t="s">
        <v>51</v>
      </c>
      <c r="B15" s="9" t="s">
        <v>53</v>
      </c>
      <c r="C15" s="10">
        <v>5.0</v>
      </c>
      <c r="D15" s="17">
        <f t="array" ref="D15">IF(OR($A15="",$G15=""),"",_xlfn.XLOOKUP($G15,Labor_Rates!$A$3:$A$7,Labor_Rates!$B$3:$B$7))</f>
        <v>33.95</v>
      </c>
      <c r="E15" s="17">
        <f t="shared" si="1"/>
        <v>169.75</v>
      </c>
      <c r="F15" s="9" t="s">
        <v>100</v>
      </c>
      <c r="G15" s="3" t="s">
        <v>53</v>
      </c>
    </row>
    <row r="16" ht="16.5" customHeight="1">
      <c r="A16" s="9" t="s">
        <v>51</v>
      </c>
      <c r="B16" s="9" t="s">
        <v>53</v>
      </c>
      <c r="C16" s="10">
        <v>25.0</v>
      </c>
      <c r="D16" s="17">
        <f t="array" ref="D16">IF(OR($A16="",$G16=""),"",_xlfn.XLOOKUP($G16,Labor_Rates!$A$3:$A$7,Labor_Rates!$B$3:$B$7))</f>
        <v>33.95</v>
      </c>
      <c r="E16" s="17">
        <f t="shared" si="1"/>
        <v>848.75</v>
      </c>
      <c r="F16" s="9" t="s">
        <v>106</v>
      </c>
      <c r="G16" s="3" t="s">
        <v>53</v>
      </c>
    </row>
    <row r="17" ht="16.5" customHeight="1">
      <c r="A17" s="9" t="s">
        <v>65</v>
      </c>
      <c r="B17" s="9" t="s">
        <v>45</v>
      </c>
      <c r="C17" s="10">
        <v>8.0</v>
      </c>
      <c r="D17" s="17">
        <f t="array" ref="D17">IF(OR($A17="",$G17=""),"",_xlfn.XLOOKUP($G17,Labor_Rates!$A$3:$A$7,Labor_Rates!$B$3:$B$7))</f>
        <v>39</v>
      </c>
      <c r="E17" s="17">
        <f t="shared" si="1"/>
        <v>312</v>
      </c>
      <c r="F17" s="9" t="s">
        <v>109</v>
      </c>
      <c r="G17" s="3" t="s">
        <v>45</v>
      </c>
    </row>
    <row r="18" ht="16.5" customHeight="1">
      <c r="A18" s="9" t="s">
        <v>65</v>
      </c>
      <c r="B18" s="9" t="s">
        <v>53</v>
      </c>
      <c r="C18" s="10">
        <v>28.0</v>
      </c>
      <c r="D18" s="17">
        <f t="array" ref="D18">IF(OR($A18="",$G18=""),"",_xlfn.XLOOKUP($G18,Labor_Rates!$A$3:$A$7,Labor_Rates!$B$3:$B$7))</f>
        <v>33.95</v>
      </c>
      <c r="E18" s="17">
        <f t="shared" si="1"/>
        <v>950.6</v>
      </c>
      <c r="F18" s="9" t="s">
        <v>112</v>
      </c>
      <c r="G18" s="3" t="s">
        <v>53</v>
      </c>
    </row>
    <row r="19" ht="16.5" customHeight="1">
      <c r="A19" s="9" t="s">
        <v>65</v>
      </c>
      <c r="B19" s="9" t="s">
        <v>53</v>
      </c>
      <c r="C19" s="10">
        <v>6.0</v>
      </c>
      <c r="D19" s="17">
        <f t="array" ref="D19">IF(OR($A19="",$G19=""),"",_xlfn.XLOOKUP($G19,Labor_Rates!$A$3:$A$7,Labor_Rates!$B$3:$B$7))</f>
        <v>33.95</v>
      </c>
      <c r="E19" s="17">
        <f t="shared" si="1"/>
        <v>203.7</v>
      </c>
      <c r="F19" s="9" t="s">
        <v>118</v>
      </c>
      <c r="G19" s="3" t="s">
        <v>53</v>
      </c>
    </row>
    <row r="20" ht="16.5" customHeight="1">
      <c r="A20" s="9" t="s">
        <v>65</v>
      </c>
      <c r="B20" s="9" t="s">
        <v>53</v>
      </c>
      <c r="C20" s="10">
        <v>3.0</v>
      </c>
      <c r="D20" s="17">
        <f t="array" ref="D20">IF(OR($A20="",$G20=""),"",_xlfn.XLOOKUP($G20,Labor_Rates!$A$3:$A$7,Labor_Rates!$B$3:$B$7))</f>
        <v>33.95</v>
      </c>
      <c r="E20" s="17">
        <f t="shared" si="1"/>
        <v>101.85</v>
      </c>
      <c r="F20" s="9" t="s">
        <v>123</v>
      </c>
      <c r="G20" s="3" t="s">
        <v>53</v>
      </c>
    </row>
    <row r="21" ht="16.5" customHeight="1">
      <c r="A21" s="9" t="s">
        <v>65</v>
      </c>
      <c r="B21" s="9" t="s">
        <v>53</v>
      </c>
      <c r="C21" s="10">
        <v>18.0</v>
      </c>
      <c r="D21" s="17">
        <f t="array" ref="D21">IF(OR($A21="",$G21=""),"",_xlfn.XLOOKUP($G21,Labor_Rates!$A$3:$A$7,Labor_Rates!$B$3:$B$7))</f>
        <v>33.95</v>
      </c>
      <c r="E21" s="17">
        <f t="shared" si="1"/>
        <v>611.1</v>
      </c>
      <c r="F21" s="9" t="s">
        <v>128</v>
      </c>
      <c r="G21" s="3" t="s">
        <v>53</v>
      </c>
    </row>
    <row r="22" ht="16.5" customHeight="1">
      <c r="A22" s="9" t="s">
        <v>65</v>
      </c>
      <c r="B22" s="9" t="s">
        <v>53</v>
      </c>
      <c r="C22" s="10">
        <v>6.0</v>
      </c>
      <c r="D22" s="17">
        <f t="array" ref="D22">IF(OR($A22="",$G22=""),"",_xlfn.XLOOKUP($G22,Labor_Rates!$A$3:$A$7,Labor_Rates!$B$3:$B$7))</f>
        <v>33.95</v>
      </c>
      <c r="E22" s="17">
        <f t="shared" si="1"/>
        <v>203.7</v>
      </c>
      <c r="F22" s="9" t="s">
        <v>133</v>
      </c>
      <c r="G22" s="3" t="s">
        <v>53</v>
      </c>
    </row>
    <row r="23" ht="16.5" customHeight="1">
      <c r="A23" s="9" t="s">
        <v>69</v>
      </c>
      <c r="B23" s="9" t="s">
        <v>45</v>
      </c>
      <c r="C23" s="10">
        <v>4.0</v>
      </c>
      <c r="D23" s="17">
        <f t="array" ref="D23">IF(OR($A23="",$G23=""),"",_xlfn.XLOOKUP($G23,Labor_Rates!$A$3:$A$7,Labor_Rates!$B$3:$B$7))</f>
        <v>39</v>
      </c>
      <c r="E23" s="17">
        <f t="shared" si="1"/>
        <v>156</v>
      </c>
      <c r="F23" s="9" t="s">
        <v>136</v>
      </c>
      <c r="G23" s="3" t="s">
        <v>45</v>
      </c>
    </row>
    <row r="24" ht="16.5" customHeight="1">
      <c r="A24" s="9" t="s">
        <v>69</v>
      </c>
      <c r="B24" s="9" t="s">
        <v>53</v>
      </c>
      <c r="C24" s="10">
        <v>12.0</v>
      </c>
      <c r="D24" s="17">
        <f t="array" ref="D24">IF(OR($A24="",$G24=""),"",_xlfn.XLOOKUP($G24,Labor_Rates!$A$3:$A$7,Labor_Rates!$B$3:$B$7))</f>
        <v>33.95</v>
      </c>
      <c r="E24" s="17">
        <f t="shared" si="1"/>
        <v>407.4</v>
      </c>
      <c r="F24" s="9" t="s">
        <v>139</v>
      </c>
      <c r="G24" s="3" t="s">
        <v>53</v>
      </c>
    </row>
    <row r="25" ht="16.5" customHeight="1">
      <c r="A25" s="9" t="s">
        <v>69</v>
      </c>
      <c r="B25" s="9" t="s">
        <v>53</v>
      </c>
      <c r="C25" s="10">
        <v>3.0</v>
      </c>
      <c r="D25" s="17">
        <f t="array" ref="D25">IF(OR($A25="",$G25=""),"",_xlfn.XLOOKUP($G25,Labor_Rates!$A$3:$A$7,Labor_Rates!$B$3:$B$7))</f>
        <v>33.95</v>
      </c>
      <c r="E25" s="17">
        <f t="shared" si="1"/>
        <v>101.85</v>
      </c>
      <c r="F25" s="9" t="s">
        <v>142</v>
      </c>
      <c r="G25" s="3" t="s">
        <v>53</v>
      </c>
    </row>
    <row r="26" ht="16.5" customHeight="1">
      <c r="A26" s="9" t="s">
        <v>74</v>
      </c>
      <c r="B26" s="9" t="s">
        <v>45</v>
      </c>
      <c r="C26" s="10">
        <v>6.0</v>
      </c>
      <c r="D26" s="17">
        <f t="array" ref="D26">IF(OR($A26="",$G26=""),"",_xlfn.XLOOKUP($G26,Labor_Rates!$A$3:$A$7,Labor_Rates!$B$3:$B$7))</f>
        <v>39</v>
      </c>
      <c r="E26" s="17">
        <f t="shared" si="1"/>
        <v>234</v>
      </c>
      <c r="F26" s="9" t="s">
        <v>145</v>
      </c>
      <c r="G26" s="3" t="s">
        <v>45</v>
      </c>
    </row>
    <row r="27" ht="16.5" customHeight="1">
      <c r="A27" s="9" t="s">
        <v>74</v>
      </c>
      <c r="B27" s="9" t="s">
        <v>53</v>
      </c>
      <c r="C27" s="10">
        <v>18.0</v>
      </c>
      <c r="D27" s="17">
        <f t="array" ref="D27">IF(OR($A27="",$G27=""),"",_xlfn.XLOOKUP($G27,Labor_Rates!$A$3:$A$7,Labor_Rates!$B$3:$B$7))</f>
        <v>33.95</v>
      </c>
      <c r="E27" s="17">
        <f t="shared" si="1"/>
        <v>611.1</v>
      </c>
      <c r="F27" s="9" t="s">
        <v>150</v>
      </c>
      <c r="G27" s="3" t="s">
        <v>53</v>
      </c>
    </row>
    <row r="28" ht="16.5" customHeight="1">
      <c r="A28" s="9" t="s">
        <v>82</v>
      </c>
      <c r="B28" s="9" t="s">
        <v>45</v>
      </c>
      <c r="C28" s="10">
        <v>4.0</v>
      </c>
      <c r="D28" s="17">
        <f t="array" ref="D28">IF(OR($A28="",$G28=""),"",_xlfn.XLOOKUP($G28,Labor_Rates!$A$3:$A$7,Labor_Rates!$B$3:$B$7))</f>
        <v>39</v>
      </c>
      <c r="E28" s="17">
        <f t="shared" si="1"/>
        <v>156</v>
      </c>
      <c r="F28" s="9" t="s">
        <v>156</v>
      </c>
      <c r="G28" s="3" t="s">
        <v>45</v>
      </c>
    </row>
    <row r="29" ht="16.5" customHeight="1">
      <c r="A29" s="9" t="s">
        <v>82</v>
      </c>
      <c r="B29" s="9" t="s">
        <v>157</v>
      </c>
      <c r="C29" s="10">
        <v>30.0</v>
      </c>
      <c r="D29" s="17">
        <f t="array" ref="D29">IF(OR($A29="",$G29=""),"",_xlfn.XLOOKUP($G29,Labor_Rates!$A$3:$A$7,Labor_Rates!$B$3:$B$7))</f>
        <v>39</v>
      </c>
      <c r="E29" s="17">
        <f t="shared" si="1"/>
        <v>1170</v>
      </c>
      <c r="F29" s="9" t="s">
        <v>162</v>
      </c>
      <c r="G29" s="3" t="s">
        <v>157</v>
      </c>
    </row>
    <row r="30" ht="16.5" customHeight="1">
      <c r="A30" s="9" t="s">
        <v>82</v>
      </c>
      <c r="B30" s="9" t="s">
        <v>157</v>
      </c>
      <c r="C30" s="10">
        <v>6.0</v>
      </c>
      <c r="D30" s="17">
        <f t="array" ref="D30">IF(OR($A30="",$G30=""),"",_xlfn.XLOOKUP($G30,Labor_Rates!$A$3:$A$7,Labor_Rates!$B$3:$B$7))</f>
        <v>39</v>
      </c>
      <c r="E30" s="17">
        <f t="shared" si="1"/>
        <v>234</v>
      </c>
      <c r="F30" s="9" t="s">
        <v>179</v>
      </c>
      <c r="G30" s="3" t="s">
        <v>157</v>
      </c>
    </row>
    <row r="31" ht="16.5" customHeight="1">
      <c r="A31" s="9" t="s">
        <v>87</v>
      </c>
      <c r="B31" s="9" t="s">
        <v>157</v>
      </c>
      <c r="C31" s="10">
        <v>10.0</v>
      </c>
      <c r="D31" s="17">
        <f t="array" ref="D31">IF(OR($A31="",$G31=""),"",_xlfn.XLOOKUP($G31,Labor_Rates!$A$3:$A$7,Labor_Rates!$B$3:$B$7))</f>
        <v>39</v>
      </c>
      <c r="E31" s="17">
        <f t="shared" si="1"/>
        <v>390</v>
      </c>
      <c r="F31" s="9" t="s">
        <v>190</v>
      </c>
      <c r="G31" s="3" t="s">
        <v>157</v>
      </c>
    </row>
    <row r="32" ht="16.5" customHeight="1">
      <c r="A32" s="9" t="s">
        <v>94</v>
      </c>
      <c r="B32" s="9" t="s">
        <v>53</v>
      </c>
      <c r="C32" s="10">
        <v>7.0</v>
      </c>
      <c r="D32" s="17">
        <f t="array" ref="D32">IF(OR($A32="",$G32=""),"",_xlfn.XLOOKUP($G32,Labor_Rates!$A$3:$A$7,Labor_Rates!$B$3:$B$7))</f>
        <v>33.95</v>
      </c>
      <c r="E32" s="17">
        <f t="shared" si="1"/>
        <v>237.65</v>
      </c>
      <c r="F32" s="9" t="s">
        <v>192</v>
      </c>
      <c r="G32" s="3" t="s">
        <v>53</v>
      </c>
    </row>
    <row r="33" ht="16.5" customHeight="1">
      <c r="A33" s="9" t="s">
        <v>98</v>
      </c>
      <c r="B33" s="9" t="s">
        <v>45</v>
      </c>
      <c r="C33" s="10">
        <v>4.0</v>
      </c>
      <c r="D33" s="17">
        <f t="array" ref="D33">IF(OR($A33="",$G33=""),"",_xlfn.XLOOKUP($G33,Labor_Rates!$A$3:$A$7,Labor_Rates!$B$3:$B$7))</f>
        <v>39</v>
      </c>
      <c r="E33" s="17">
        <f t="shared" si="1"/>
        <v>156</v>
      </c>
      <c r="F33" s="9" t="s">
        <v>197</v>
      </c>
      <c r="G33" s="3" t="s">
        <v>45</v>
      </c>
    </row>
    <row r="34" ht="16.5" customHeight="1">
      <c r="A34" s="9" t="s">
        <v>98</v>
      </c>
      <c r="B34" s="9" t="s">
        <v>53</v>
      </c>
      <c r="C34" s="10">
        <v>18.0</v>
      </c>
      <c r="D34" s="17">
        <f t="array" ref="D34">IF(OR($A34="",$G34=""),"",_xlfn.XLOOKUP($G34,Labor_Rates!$A$3:$A$7,Labor_Rates!$B$3:$B$7))</f>
        <v>33.95</v>
      </c>
      <c r="E34" s="17">
        <f t="shared" si="1"/>
        <v>611.1</v>
      </c>
      <c r="F34" s="9" t="s">
        <v>200</v>
      </c>
      <c r="G34" s="3" t="s">
        <v>53</v>
      </c>
    </row>
    <row r="35" ht="16.5" customHeight="1">
      <c r="A35" s="9" t="s">
        <v>98</v>
      </c>
      <c r="B35" s="9" t="s">
        <v>53</v>
      </c>
      <c r="C35" s="10">
        <v>43.0</v>
      </c>
      <c r="D35" s="17">
        <f t="array" ref="D35">IF(OR($A35="",$G35=""),"",_xlfn.XLOOKUP($G35,Labor_Rates!$A$3:$A$7,Labor_Rates!$B$3:$B$7))</f>
        <v>33.95</v>
      </c>
      <c r="E35" s="17">
        <f t="shared" si="1"/>
        <v>1459.85</v>
      </c>
      <c r="F35" s="9" t="s">
        <v>204</v>
      </c>
      <c r="G35" s="3" t="s">
        <v>53</v>
      </c>
    </row>
    <row r="36" ht="16.5" customHeight="1">
      <c r="A36" s="9" t="s">
        <v>102</v>
      </c>
      <c r="B36" s="9" t="s">
        <v>53</v>
      </c>
      <c r="C36" s="10">
        <v>6.0</v>
      </c>
      <c r="D36" s="17">
        <f t="array" ref="D36">IF(OR($A36="",$G36=""),"",_xlfn.XLOOKUP($G36,Labor_Rates!$A$3:$A$7,Labor_Rates!$B$3:$B$7))</f>
        <v>33.95</v>
      </c>
      <c r="E36" s="17">
        <f t="shared" si="1"/>
        <v>203.7</v>
      </c>
      <c r="F36" s="9" t="s">
        <v>207</v>
      </c>
      <c r="G36" s="3" t="s">
        <v>53</v>
      </c>
    </row>
    <row r="37" ht="16.5" customHeight="1">
      <c r="A37" s="9" t="s">
        <v>105</v>
      </c>
      <c r="B37" s="9" t="s">
        <v>53</v>
      </c>
      <c r="C37" s="10">
        <v>0.0</v>
      </c>
      <c r="D37" s="17">
        <f t="array" ref="D37">IF(OR($A37="",$G37=""),"",_xlfn.XLOOKUP($G37,Labor_Rates!$A$3:$A$7,Labor_Rates!$B$3:$B$7))</f>
        <v>33.95</v>
      </c>
      <c r="E37" s="17">
        <f t="shared" si="1"/>
        <v>0</v>
      </c>
      <c r="F37" s="9" t="s">
        <v>105</v>
      </c>
      <c r="G37" s="3" t="s">
        <v>53</v>
      </c>
    </row>
    <row r="38" ht="16.5" customHeight="1">
      <c r="A38" s="9" t="s">
        <v>105</v>
      </c>
      <c r="B38" s="9" t="s">
        <v>53</v>
      </c>
      <c r="C38" s="10">
        <v>0.0</v>
      </c>
      <c r="D38" s="17">
        <f t="array" ref="D38">IF(OR($A38="",$G38=""),"",_xlfn.XLOOKUP($G38,Labor_Rates!$A$3:$A$7,Labor_Rates!$B$3:$B$7))</f>
        <v>33.95</v>
      </c>
      <c r="E38" s="17">
        <f t="shared" si="1"/>
        <v>0</v>
      </c>
      <c r="F38" s="9" t="s">
        <v>105</v>
      </c>
      <c r="G38" s="3" t="s">
        <v>53</v>
      </c>
    </row>
    <row r="39" ht="16.5" customHeight="1">
      <c r="A39" s="9" t="s">
        <v>105</v>
      </c>
      <c r="B39" s="9" t="s">
        <v>53</v>
      </c>
      <c r="C39" s="10">
        <v>0.0</v>
      </c>
      <c r="D39" s="17">
        <f t="array" ref="D39">IF(OR($A39="",$G39=""),"",_xlfn.XLOOKUP($G39,Labor_Rates!$A$3:$A$7,Labor_Rates!$B$3:$B$7))</f>
        <v>33.95</v>
      </c>
      <c r="E39" s="17">
        <f t="shared" si="1"/>
        <v>0</v>
      </c>
      <c r="F39" s="9" t="s">
        <v>105</v>
      </c>
      <c r="G39" s="3" t="s">
        <v>53</v>
      </c>
    </row>
    <row r="40" ht="16.5" customHeight="1">
      <c r="A40" s="9" t="s">
        <v>105</v>
      </c>
      <c r="B40" s="9" t="s">
        <v>53</v>
      </c>
      <c r="C40" s="10">
        <v>0.0</v>
      </c>
      <c r="D40" s="17">
        <f t="array" ref="D40">IF(OR($A40="",$G40=""),"",_xlfn.XLOOKUP($G40,Labor_Rates!$A$3:$A$7,Labor_Rates!$B$3:$B$7))</f>
        <v>33.95</v>
      </c>
      <c r="E40" s="17">
        <f t="shared" si="1"/>
        <v>0</v>
      </c>
      <c r="F40" s="9" t="s">
        <v>105</v>
      </c>
      <c r="G40" s="3" t="s">
        <v>53</v>
      </c>
    </row>
    <row r="41" ht="16.5" customHeight="1">
      <c r="A41" s="9"/>
      <c r="B41" s="9"/>
      <c r="C41" s="10"/>
      <c r="D41" s="17" t="str">
        <f t="array" ref="D41">IF(OR($A41="",$G41=""),"",_xlfn.XLOOKUP($G41,Labor_Rates!$A$3:$A$7,Labor_Rates!$B$3:$B$7,""))</f>
        <v/>
      </c>
      <c r="E41" s="17" t="str">
        <f t="shared" si="1"/>
        <v/>
      </c>
      <c r="F41" s="9"/>
      <c r="G41" s="3"/>
    </row>
    <row r="42" ht="16.5" customHeight="1">
      <c r="A42" s="9"/>
      <c r="B42" s="9"/>
      <c r="C42" s="10"/>
      <c r="D42" s="17" t="str">
        <f t="array" ref="D42">IF(OR($A42="",$G42=""),"",_xlfn.XLOOKUP($G42,Labor_Rates!$A$3:$A$7,Labor_Rates!$B$3:$B$7,""))</f>
        <v/>
      </c>
      <c r="E42" s="17" t="str">
        <f t="shared" si="1"/>
        <v/>
      </c>
      <c r="F42" s="9"/>
      <c r="G42" s="3"/>
    </row>
    <row r="43" ht="16.5" customHeight="1">
      <c r="A43" s="9"/>
      <c r="B43" s="9"/>
      <c r="C43" s="10"/>
      <c r="D43" s="17" t="str">
        <f t="array" ref="D43">IF(OR($A43="",$G43=""),"",_xlfn.XLOOKUP($G43,Labor_Rates!$A$3:$A$7,Labor_Rates!$B$3:$B$7,""))</f>
        <v/>
      </c>
      <c r="E43" s="17" t="str">
        <f t="shared" si="1"/>
        <v/>
      </c>
      <c r="F43" s="9"/>
      <c r="G43" s="3"/>
    </row>
    <row r="44" ht="16.5" customHeight="1">
      <c r="A44" s="9"/>
      <c r="B44" s="9"/>
      <c r="C44" s="10"/>
      <c r="D44" s="17" t="str">
        <f t="array" ref="D44">IF(OR($A44="",$G44=""),"",_xlfn.XLOOKUP($G44,Labor_Rates!$A$3:$A$7,Labor_Rates!$B$3:$B$7,""))</f>
        <v/>
      </c>
      <c r="E44" s="17" t="str">
        <f t="shared" si="1"/>
        <v/>
      </c>
      <c r="F44" s="9"/>
      <c r="G44" s="3"/>
    </row>
    <row r="45" ht="16.5" customHeight="1">
      <c r="A45" s="9"/>
      <c r="B45" s="9"/>
      <c r="C45" s="10"/>
      <c r="D45" s="17" t="str">
        <f t="array" ref="D45">IF(OR($A45="",$G45=""),"",_xlfn.XLOOKUP($G45,Labor_Rates!$A$3:$A$7,Labor_Rates!$B$3:$B$7,""))</f>
        <v/>
      </c>
      <c r="E45" s="17" t="str">
        <f t="shared" si="1"/>
        <v/>
      </c>
      <c r="F45" s="9"/>
      <c r="G45" s="3"/>
    </row>
    <row r="46" ht="16.5" customHeight="1">
      <c r="A46" s="9"/>
      <c r="B46" s="9"/>
      <c r="C46" s="10"/>
      <c r="D46" s="17" t="str">
        <f t="array" ref="D46">IF(OR($A46="",$G46=""),"",_xlfn.XLOOKUP($G46,Labor_Rates!$A$3:$A$7,Labor_Rates!$B$3:$B$7,""))</f>
        <v/>
      </c>
      <c r="E46" s="17" t="str">
        <f t="shared" si="1"/>
        <v/>
      </c>
      <c r="F46" s="9"/>
      <c r="G46" s="3"/>
    </row>
    <row r="47" ht="16.5" customHeight="1">
      <c r="A47" s="9"/>
      <c r="B47" s="9"/>
      <c r="C47" s="10"/>
      <c r="D47" s="17" t="str">
        <f t="array" ref="D47">IF(OR($A47="",$G47=""),"",_xlfn.XLOOKUP($G47,Labor_Rates!$A$3:$A$7,Labor_Rates!$B$3:$B$7,""))</f>
        <v/>
      </c>
      <c r="E47" s="17" t="str">
        <f t="shared" si="1"/>
        <v/>
      </c>
      <c r="F47" s="9"/>
      <c r="G47" s="3"/>
    </row>
    <row r="48" ht="16.5" customHeight="1">
      <c r="A48" s="9"/>
      <c r="B48" s="9"/>
      <c r="C48" s="10"/>
      <c r="D48" s="17" t="str">
        <f t="array" ref="D48">IF(OR($A48="",$G48=""),"",_xlfn.XLOOKUP($G48,Labor_Rates!$A$3:$A$7,Labor_Rates!$B$3:$B$7,""))</f>
        <v/>
      </c>
      <c r="E48" s="17" t="str">
        <f t="shared" si="1"/>
        <v/>
      </c>
      <c r="F48" s="9"/>
      <c r="G48" s="3"/>
    </row>
    <row r="49" ht="16.5" customHeight="1">
      <c r="A49" s="9"/>
      <c r="B49" s="9"/>
      <c r="C49" s="10"/>
      <c r="D49" s="17" t="str">
        <f t="array" ref="D49">IF(OR($A49="",$G49=""),"",_xlfn.XLOOKUP($G49,Labor_Rates!$A$3:$A$7,Labor_Rates!$B$3:$B$7,""))</f>
        <v/>
      </c>
      <c r="E49" s="17" t="str">
        <f t="shared" si="1"/>
        <v/>
      </c>
      <c r="F49" s="9"/>
      <c r="G49" s="3"/>
    </row>
    <row r="50" ht="16.5" customHeight="1">
      <c r="A50" s="9"/>
      <c r="B50" s="9"/>
      <c r="C50" s="10"/>
      <c r="D50" s="17" t="str">
        <f t="array" ref="D50">IF(OR($A50="",$G50=""),"",_xlfn.XLOOKUP($G50,Labor_Rates!$A$3:$A$7,Labor_Rates!$B$3:$B$7,""))</f>
        <v/>
      </c>
      <c r="E50" s="17" t="str">
        <f t="shared" si="1"/>
        <v/>
      </c>
      <c r="F50" s="9"/>
      <c r="G50" s="3"/>
    </row>
    <row r="51" ht="16.5" customHeight="1">
      <c r="A51" s="9"/>
      <c r="B51" s="9"/>
      <c r="C51" s="10"/>
      <c r="D51" s="17" t="str">
        <f t="array" ref="D51">IF(OR($A51="",$G51=""),"",_xlfn.XLOOKUP($G51,Labor_Rates!$A$3:$A$7,Labor_Rates!$B$3:$B$7,""))</f>
        <v/>
      </c>
      <c r="E51" s="17" t="str">
        <f t="shared" si="1"/>
        <v/>
      </c>
      <c r="F51" s="9"/>
      <c r="G51" s="3"/>
    </row>
    <row r="52" ht="16.5" customHeight="1">
      <c r="A52" s="20"/>
      <c r="B52" s="20"/>
      <c r="C52" s="27"/>
      <c r="D52" s="28" t="str">
        <f t="array" ref="D52">IF(OR($A52="",$G52=""),"",_xlfn.XLOOKUP($G52,Labor_Rates!$A$3:$A$7,Labor_Rates!$B$3:$B$7,""))</f>
        <v/>
      </c>
      <c r="E52" s="28" t="str">
        <f t="shared" si="1"/>
        <v/>
      </c>
      <c r="F52" s="20"/>
      <c r="G52" s="3"/>
    </row>
    <row r="53" ht="15.75" customHeight="1">
      <c r="A53" s="23"/>
      <c r="D53" s="23" t="str">
        <f t="array" ref="D53">IF(OR($A53="",$G53=""),"",_xlfn.XLOOKUP($G53,Labor_Rates!$A$3:$A$7,Labor_Rates!$B$3:$B$7,""))</f>
        <v/>
      </c>
      <c r="E53" s="23" t="str">
        <f t="shared" si="1"/>
        <v/>
      </c>
      <c r="G53" s="23"/>
    </row>
    <row r="54" ht="15.75" customHeight="1">
      <c r="A54" s="23"/>
      <c r="D54" s="23" t="str">
        <f t="array" ref="D54">IF(OR($A54="",$G54=""),"",_xlfn.XLOOKUP($G54,Labor_Rates!$A$3:$A$7,Labor_Rates!$B$3:$B$7,""))</f>
        <v/>
      </c>
      <c r="E54" s="23" t="str">
        <f t="shared" si="1"/>
        <v/>
      </c>
      <c r="G54" s="23"/>
    </row>
    <row r="55" ht="15.75" customHeight="1">
      <c r="A55" s="23"/>
      <c r="D55" s="23" t="str">
        <f t="array" ref="D55">IF(OR($A55="",$G55=""),"",_xlfn.XLOOKUP($G55,Labor_Rates!$A$3:$A$7,Labor_Rates!$B$3:$B$7,""))</f>
        <v/>
      </c>
      <c r="E55" s="23" t="str">
        <f t="shared" si="1"/>
        <v/>
      </c>
      <c r="G55" s="23"/>
    </row>
    <row r="56" ht="15.75" customHeight="1">
      <c r="A56" s="23"/>
      <c r="D56" s="23" t="str">
        <f t="array" ref="D56">IF(OR($A56="",$G56=""),"",_xlfn.XLOOKUP($G56,Labor_Rates!$A$3:$A$7,Labor_Rates!$B$3:$B$7,""))</f>
        <v/>
      </c>
      <c r="E56" s="23" t="str">
        <f t="shared" si="1"/>
        <v/>
      </c>
      <c r="G56" s="23"/>
    </row>
    <row r="57" ht="15.75" customHeight="1">
      <c r="A57" s="23"/>
      <c r="D57" s="23" t="str">
        <f t="array" ref="D57">IF(OR($A57="",$G57=""),"",_xlfn.XLOOKUP($G57,Labor_Rates!$A$3:$A$7,Labor_Rates!$B$3:$B$7,""))</f>
        <v/>
      </c>
      <c r="E57" s="23" t="str">
        <f t="shared" si="1"/>
        <v/>
      </c>
      <c r="G57" s="23"/>
    </row>
    <row r="58" ht="15.75" customHeight="1">
      <c r="A58" s="23"/>
      <c r="D58" s="23" t="str">
        <f t="array" ref="D58">IF(OR($A58="",$G58=""),"",_xlfn.XLOOKUP($G58,Labor_Rates!$A$3:$A$7,Labor_Rates!$B$3:$B$7,""))</f>
        <v/>
      </c>
      <c r="E58" s="23" t="str">
        <f t="shared" si="1"/>
        <v/>
      </c>
      <c r="G58" s="23"/>
    </row>
    <row r="59" ht="15.75" customHeight="1">
      <c r="A59" s="23"/>
      <c r="D59" s="23" t="str">
        <f t="array" ref="D59">IF(OR($A59="",$G59=""),"",_xlfn.XLOOKUP($G59,Labor_Rates!$A$3:$A$7,Labor_Rates!$B$3:$B$7,""))</f>
        <v/>
      </c>
      <c r="E59" s="23" t="str">
        <f t="shared" si="1"/>
        <v/>
      </c>
      <c r="G59" s="23"/>
    </row>
    <row r="60" ht="15.75" customHeight="1">
      <c r="A60" s="23"/>
      <c r="D60" s="23" t="str">
        <f t="array" ref="D60">IF(OR($A60="",$G60=""),"",_xlfn.XLOOKUP($G60,Labor_Rates!$A$3:$A$7,Labor_Rates!$B$3:$B$7,""))</f>
        <v/>
      </c>
      <c r="E60" s="23" t="str">
        <f t="shared" si="1"/>
        <v/>
      </c>
      <c r="G60" s="23"/>
    </row>
    <row r="61" ht="15.75" customHeight="1">
      <c r="A61" s="23"/>
      <c r="D61" s="23" t="str">
        <f t="array" ref="D61">IF(OR($A61="",$G61=""),"",_xlfn.XLOOKUP($G61,Labor_Rates!$A$3:$A$7,Labor_Rates!$B$3:$B$7,""))</f>
        <v/>
      </c>
      <c r="E61" s="23" t="str">
        <f t="shared" si="1"/>
        <v/>
      </c>
      <c r="G61" s="23"/>
    </row>
    <row r="62" ht="15.75" customHeight="1">
      <c r="A62" s="23"/>
      <c r="D62" s="23" t="str">
        <f t="array" ref="D62">IF(OR($A62="",$G62=""),"",_xlfn.XLOOKUP($G62,Labor_Rates!$A$3:$A$7,Labor_Rates!$B$3:$B$7,""))</f>
        <v/>
      </c>
      <c r="E62" s="23" t="str">
        <f t="shared" si="1"/>
        <v/>
      </c>
      <c r="G62" s="23"/>
    </row>
    <row r="63" ht="15.75" customHeight="1">
      <c r="A63" s="23"/>
      <c r="D63" s="23" t="str">
        <f t="array" ref="D63">IF(OR($A63="",$G63=""),"",_xlfn.XLOOKUP($G63,Labor_Rates!$A$3:$A$7,Labor_Rates!$B$3:$B$7,""))</f>
        <v/>
      </c>
      <c r="E63" s="23" t="str">
        <f t="shared" si="1"/>
        <v/>
      </c>
      <c r="G63" s="23"/>
    </row>
    <row r="64" ht="15.75" customHeight="1">
      <c r="A64" s="23"/>
      <c r="D64" s="23" t="str">
        <f t="array" ref="D64">IF(OR($A64="",$G64=""),"",_xlfn.XLOOKUP($G64,Labor_Rates!$A$3:$A$7,Labor_Rates!$B$3:$B$7,""))</f>
        <v/>
      </c>
      <c r="E64" s="23" t="str">
        <f t="shared" si="1"/>
        <v/>
      </c>
      <c r="G64" s="23"/>
    </row>
    <row r="65" ht="15.75" customHeight="1">
      <c r="A65" s="23"/>
      <c r="D65" s="23" t="str">
        <f t="array" ref="D65">IF(OR($A65="",$G65=""),"",_xlfn.XLOOKUP($G65,Labor_Rates!$A$3:$A$7,Labor_Rates!$B$3:$B$7,""))</f>
        <v/>
      </c>
      <c r="E65" s="23" t="str">
        <f t="shared" si="1"/>
        <v/>
      </c>
      <c r="G65" s="23"/>
    </row>
    <row r="66" ht="15.75" customHeight="1">
      <c r="A66" s="23"/>
      <c r="D66" s="23" t="str">
        <f t="array" ref="D66">IF(OR($A66="",$G66=""),"",_xlfn.XLOOKUP($G66,Labor_Rates!$A$3:$A$7,Labor_Rates!$B$3:$B$7,""))</f>
        <v/>
      </c>
      <c r="E66" s="23" t="str">
        <f t="shared" si="1"/>
        <v/>
      </c>
      <c r="G66" s="23"/>
    </row>
    <row r="67" ht="15.75" customHeight="1">
      <c r="A67" s="23"/>
      <c r="D67" s="23" t="str">
        <f t="array" ref="D67">IF(OR($A67="",$G67=""),"",_xlfn.XLOOKUP($G67,Labor_Rates!$A$3:$A$7,Labor_Rates!$B$3:$B$7,""))</f>
        <v/>
      </c>
      <c r="E67" s="23" t="str">
        <f t="shared" si="1"/>
        <v/>
      </c>
      <c r="G67" s="23"/>
    </row>
    <row r="68" ht="15.75" customHeight="1">
      <c r="A68" s="23"/>
      <c r="D68" s="23" t="str">
        <f t="array" ref="D68">IF(OR($A68="",$G68=""),"",_xlfn.XLOOKUP($G68,Labor_Rates!$A$3:$A$7,Labor_Rates!$B$3:$B$7,""))</f>
        <v/>
      </c>
      <c r="E68" s="23" t="str">
        <f t="shared" si="1"/>
        <v/>
      </c>
      <c r="G68" s="23"/>
    </row>
    <row r="69" ht="15.75" customHeight="1">
      <c r="A69" s="23"/>
      <c r="D69" s="23" t="str">
        <f t="array" ref="D69">IF(OR($A69="",$G69=""),"",_xlfn.XLOOKUP($G69,Labor_Rates!$A$3:$A$7,Labor_Rates!$B$3:$B$7,""))</f>
        <v/>
      </c>
      <c r="E69" s="23" t="str">
        <f t="shared" si="1"/>
        <v/>
      </c>
      <c r="G69" s="23"/>
    </row>
    <row r="70" ht="15.75" customHeight="1">
      <c r="A70" s="23"/>
      <c r="D70" s="23" t="str">
        <f t="array" ref="D70">IF(OR($A70="",$G70=""),"",_xlfn.XLOOKUP($G70,Labor_Rates!$A$3:$A$7,Labor_Rates!$B$3:$B$7,""))</f>
        <v/>
      </c>
      <c r="E70" s="23" t="str">
        <f t="shared" si="1"/>
        <v/>
      </c>
      <c r="G70" s="23"/>
    </row>
    <row r="71" ht="15.75" customHeight="1">
      <c r="A71" s="23"/>
      <c r="D71" s="23" t="str">
        <f t="array" ref="D71">IF(OR($A71="",$G71=""),"",_xlfn.XLOOKUP($G71,Labor_Rates!$A$3:$A$7,Labor_Rates!$B$3:$B$7,""))</f>
        <v/>
      </c>
      <c r="E71" s="23" t="str">
        <f t="shared" si="1"/>
        <v/>
      </c>
      <c r="G71" s="23"/>
    </row>
    <row r="72" ht="15.75" customHeight="1">
      <c r="A72" s="23"/>
      <c r="D72" s="23" t="str">
        <f t="array" ref="D72">IF(OR($A72="",$G72=""),"",_xlfn.XLOOKUP($G72,Labor_Rates!$A$3:$A$7,Labor_Rates!$B$3:$B$7,""))</f>
        <v/>
      </c>
      <c r="E72" s="23" t="str">
        <f t="shared" si="1"/>
        <v/>
      </c>
      <c r="G72" s="23"/>
    </row>
    <row r="73" ht="15.75" customHeight="1">
      <c r="A73" s="23"/>
      <c r="D73" s="23" t="str">
        <f t="array" ref="D73">IF(OR($A73="",$G73=""),"",_xlfn.XLOOKUP($G73,Labor_Rates!$A$3:$A$7,Labor_Rates!$B$3:$B$7,""))</f>
        <v/>
      </c>
      <c r="E73" s="23" t="str">
        <f t="shared" si="1"/>
        <v/>
      </c>
      <c r="G73" s="23"/>
    </row>
    <row r="74" ht="15.75" customHeight="1">
      <c r="A74" s="23"/>
      <c r="D74" s="23" t="str">
        <f t="array" ref="D74">IF(OR($A74="",$G74=""),"",_xlfn.XLOOKUP($G74,Labor_Rates!$A$3:$A$7,Labor_Rates!$B$3:$B$7,""))</f>
        <v/>
      </c>
      <c r="E74" s="23" t="str">
        <f t="shared" si="1"/>
        <v/>
      </c>
      <c r="G74" s="23"/>
    </row>
    <row r="75" ht="15.75" customHeight="1">
      <c r="A75" s="23"/>
      <c r="D75" s="23" t="str">
        <f t="array" ref="D75">IF(OR($A75="",$G75=""),"",_xlfn.XLOOKUP($G75,Labor_Rates!$A$3:$A$7,Labor_Rates!$B$3:$B$7,""))</f>
        <v/>
      </c>
      <c r="E75" s="23" t="str">
        <f t="shared" si="1"/>
        <v/>
      </c>
      <c r="G75" s="23"/>
    </row>
    <row r="76" ht="15.75" customHeight="1">
      <c r="A76" s="23"/>
      <c r="D76" s="23" t="str">
        <f t="array" ref="D76">IF(OR($A76="",$G76=""),"",_xlfn.XLOOKUP($G76,Labor_Rates!$A$3:$A$7,Labor_Rates!$B$3:$B$7,""))</f>
        <v/>
      </c>
      <c r="E76" s="23" t="str">
        <f t="shared" si="1"/>
        <v/>
      </c>
      <c r="G76" s="23"/>
    </row>
    <row r="77" ht="15.75" customHeight="1">
      <c r="A77" s="23"/>
      <c r="D77" s="23" t="str">
        <f t="array" ref="D77">IF(OR($A77="",$G77=""),"",_xlfn.XLOOKUP($G77,Labor_Rates!$A$3:$A$7,Labor_Rates!$B$3:$B$7,""))</f>
        <v/>
      </c>
      <c r="E77" s="23" t="str">
        <f t="shared" si="1"/>
        <v/>
      </c>
      <c r="G77" s="23"/>
    </row>
    <row r="78" ht="15.75" customHeight="1">
      <c r="A78" s="23"/>
      <c r="D78" s="23" t="str">
        <f t="array" ref="D78">IF(OR($A78="",$G78=""),"",_xlfn.XLOOKUP($G78,Labor_Rates!$A$3:$A$7,Labor_Rates!$B$3:$B$7,""))</f>
        <v/>
      </c>
      <c r="E78" s="23" t="str">
        <f t="shared" si="1"/>
        <v/>
      </c>
      <c r="G78" s="23"/>
    </row>
    <row r="79" ht="15.75" customHeight="1">
      <c r="A79" s="23"/>
      <c r="D79" s="23" t="str">
        <f t="array" ref="D79">IF(OR($A79="",$G79=""),"",_xlfn.XLOOKUP($G79,Labor_Rates!$A$3:$A$7,Labor_Rates!$B$3:$B$7,""))</f>
        <v/>
      </c>
      <c r="E79" s="23" t="str">
        <f t="shared" si="1"/>
        <v/>
      </c>
      <c r="G79" s="23"/>
    </row>
    <row r="80" ht="15.75" customHeight="1">
      <c r="A80" s="23"/>
      <c r="D80" s="23" t="str">
        <f t="array" ref="D80">IF(OR($A80="",$G80=""),"",_xlfn.XLOOKUP($G80,Labor_Rates!$A$3:$A$7,Labor_Rates!$B$3:$B$7,""))</f>
        <v/>
      </c>
      <c r="E80" s="23" t="str">
        <f t="shared" si="1"/>
        <v/>
      </c>
      <c r="G80" s="23"/>
    </row>
    <row r="81" ht="15.75" customHeight="1">
      <c r="A81" s="23"/>
      <c r="D81" s="23" t="str">
        <f t="array" ref="D81">IF(OR($A81="",$G81=""),"",_xlfn.XLOOKUP($G81,Labor_Rates!$A$3:$A$7,Labor_Rates!$B$3:$B$7,""))</f>
        <v/>
      </c>
      <c r="E81" s="23" t="str">
        <f t="shared" si="1"/>
        <v/>
      </c>
      <c r="G81" s="23"/>
    </row>
    <row r="82" ht="15.75" customHeight="1">
      <c r="A82" s="23"/>
      <c r="D82" s="23" t="str">
        <f t="array" ref="D82">IF(OR($A82="",$G82=""),"",_xlfn.XLOOKUP($G82,Labor_Rates!$A$3:$A$7,Labor_Rates!$B$3:$B$7,""))</f>
        <v/>
      </c>
      <c r="E82" s="23" t="str">
        <f t="shared" si="1"/>
        <v/>
      </c>
      <c r="G82" s="23"/>
    </row>
    <row r="83" ht="15.75" customHeight="1">
      <c r="A83" s="23"/>
      <c r="D83" s="23" t="str">
        <f t="array" ref="D83">IF(OR($A83="",$G83=""),"",_xlfn.XLOOKUP($G83,Labor_Rates!$A$3:$A$7,Labor_Rates!$B$3:$B$7,""))</f>
        <v/>
      </c>
      <c r="E83" s="23" t="str">
        <f t="shared" si="1"/>
        <v/>
      </c>
      <c r="G83" s="23"/>
    </row>
    <row r="84" ht="15.75" customHeight="1">
      <c r="A84" s="23"/>
      <c r="D84" s="23" t="str">
        <f t="array" ref="D84">IF(OR($A84="",$G84=""),"",_xlfn.XLOOKUP($G84,Labor_Rates!$A$3:$A$7,Labor_Rates!$B$3:$B$7,""))</f>
        <v/>
      </c>
      <c r="E84" s="23" t="str">
        <f t="shared" si="1"/>
        <v/>
      </c>
      <c r="G84" s="23"/>
    </row>
    <row r="85" ht="15.75" customHeight="1">
      <c r="A85" s="23"/>
      <c r="D85" s="23" t="str">
        <f t="array" ref="D85">IF(OR($A85="",$G85=""),"",_xlfn.XLOOKUP($G85,Labor_Rates!$A$3:$A$7,Labor_Rates!$B$3:$B$7,""))</f>
        <v/>
      </c>
      <c r="E85" s="23" t="str">
        <f t="shared" si="1"/>
        <v/>
      </c>
      <c r="G85" s="23"/>
    </row>
    <row r="86" ht="15.75" customHeight="1">
      <c r="A86" s="23"/>
      <c r="D86" s="23" t="str">
        <f t="array" ref="D86">IF(OR($A86="",$G86=""),"",_xlfn.XLOOKUP($G86,Labor_Rates!$A$3:$A$7,Labor_Rates!$B$3:$B$7,""))</f>
        <v/>
      </c>
      <c r="E86" s="23" t="str">
        <f t="shared" si="1"/>
        <v/>
      </c>
      <c r="G86" s="23"/>
    </row>
    <row r="87" ht="15.75" customHeight="1">
      <c r="A87" s="23"/>
      <c r="D87" s="23" t="str">
        <f t="array" ref="D87">IF(OR($A87="",$G87=""),"",_xlfn.XLOOKUP($G87,Labor_Rates!$A$3:$A$7,Labor_Rates!$B$3:$B$7,""))</f>
        <v/>
      </c>
      <c r="E87" s="23" t="str">
        <f t="shared" si="1"/>
        <v/>
      </c>
      <c r="G87" s="23"/>
    </row>
    <row r="88" ht="15.75" customHeight="1">
      <c r="A88" s="23"/>
      <c r="D88" s="23" t="str">
        <f t="array" ref="D88">IF(OR($A88="",$G88=""),"",_xlfn.XLOOKUP($G88,Labor_Rates!$A$3:$A$7,Labor_Rates!$B$3:$B$7,""))</f>
        <v/>
      </c>
      <c r="E88" s="23" t="str">
        <f t="shared" si="1"/>
        <v/>
      </c>
      <c r="G88" s="23"/>
    </row>
    <row r="89" ht="15.75" customHeight="1">
      <c r="A89" s="23"/>
      <c r="D89" s="23" t="str">
        <f t="array" ref="D89">IF(OR($A89="",$G89=""),"",_xlfn.XLOOKUP($G89,Labor_Rates!$A$3:$A$7,Labor_Rates!$B$3:$B$7,""))</f>
        <v/>
      </c>
      <c r="E89" s="23" t="str">
        <f t="shared" si="1"/>
        <v/>
      </c>
      <c r="G89" s="23"/>
    </row>
    <row r="90" ht="15.75" customHeight="1">
      <c r="A90" s="23"/>
      <c r="D90" s="23" t="str">
        <f t="array" ref="D90">IF(OR($A90="",$G90=""),"",_xlfn.XLOOKUP($G90,Labor_Rates!$A$3:$A$7,Labor_Rates!$B$3:$B$7,""))</f>
        <v/>
      </c>
      <c r="E90" s="23" t="str">
        <f t="shared" si="1"/>
        <v/>
      </c>
      <c r="G90" s="23"/>
    </row>
    <row r="91" ht="15.75" customHeight="1">
      <c r="A91" s="23"/>
      <c r="D91" s="23" t="str">
        <f t="array" ref="D91">IF(OR($A91="",$G91=""),"",_xlfn.XLOOKUP($G91,Labor_Rates!$A$3:$A$7,Labor_Rates!$B$3:$B$7,""))</f>
        <v/>
      </c>
      <c r="E91" s="23" t="str">
        <f t="shared" si="1"/>
        <v/>
      </c>
      <c r="G91" s="23"/>
    </row>
    <row r="92" ht="15.75" customHeight="1">
      <c r="A92" s="23"/>
      <c r="D92" s="23" t="str">
        <f t="array" ref="D92">IF(OR($A92="",$G92=""),"",_xlfn.XLOOKUP($G92,Labor_Rates!$A$3:$A$7,Labor_Rates!$B$3:$B$7,""))</f>
        <v/>
      </c>
      <c r="E92" s="23" t="str">
        <f t="shared" si="1"/>
        <v/>
      </c>
      <c r="G92" s="23"/>
    </row>
    <row r="93" ht="15.75" customHeight="1">
      <c r="A93" s="23"/>
      <c r="D93" s="23" t="str">
        <f t="array" ref="D93">IF(OR($A93="",$G93=""),"",_xlfn.XLOOKUP($G93,Labor_Rates!$A$3:$A$7,Labor_Rates!$B$3:$B$7,""))</f>
        <v/>
      </c>
      <c r="E93" s="23" t="str">
        <f t="shared" si="1"/>
        <v/>
      </c>
      <c r="G93" s="23"/>
    </row>
    <row r="94" ht="15.75" customHeight="1">
      <c r="A94" s="23"/>
      <c r="D94" s="23" t="str">
        <f t="array" ref="D94">IF(OR($A94="",$G94=""),"",_xlfn.XLOOKUP($G94,Labor_Rates!$A$3:$A$7,Labor_Rates!$B$3:$B$7,""))</f>
        <v/>
      </c>
      <c r="E94" s="23" t="str">
        <f t="shared" si="1"/>
        <v/>
      </c>
      <c r="G94" s="23"/>
    </row>
    <row r="95" ht="15.75" customHeight="1">
      <c r="A95" s="23"/>
      <c r="D95" s="23" t="str">
        <f t="array" ref="D95">IF(OR($A95="",$G95=""),"",_xlfn.XLOOKUP($G95,Labor_Rates!$A$3:$A$7,Labor_Rates!$B$3:$B$7,""))</f>
        <v/>
      </c>
      <c r="E95" s="23" t="str">
        <f t="shared" si="1"/>
        <v/>
      </c>
      <c r="G95" s="23"/>
    </row>
    <row r="96" ht="15.75" customHeight="1">
      <c r="A96" s="23"/>
      <c r="D96" s="23" t="str">
        <f t="array" ref="D96">IF(OR($A96="",$G96=""),"",_xlfn.XLOOKUP($G96,Labor_Rates!$A$3:$A$7,Labor_Rates!$B$3:$B$7,""))</f>
        <v/>
      </c>
      <c r="E96" s="23" t="str">
        <f t="shared" si="1"/>
        <v/>
      </c>
      <c r="G96" s="23"/>
    </row>
    <row r="97" ht="15.75" customHeight="1">
      <c r="A97" s="23"/>
      <c r="D97" s="23" t="str">
        <f t="array" ref="D97">IF(OR($A97="",$G97=""),"",_xlfn.XLOOKUP($G97,Labor_Rates!$A$3:$A$7,Labor_Rates!$B$3:$B$7,""))</f>
        <v/>
      </c>
      <c r="E97" s="23" t="str">
        <f t="shared" si="1"/>
        <v/>
      </c>
      <c r="G97" s="23"/>
    </row>
    <row r="98" ht="15.75" customHeight="1">
      <c r="A98" s="23"/>
      <c r="D98" s="23" t="str">
        <f t="array" ref="D98">IF(OR($A98="",$G98=""),"",_xlfn.XLOOKUP($G98,Labor_Rates!$A$3:$A$7,Labor_Rates!$B$3:$B$7,""))</f>
        <v/>
      </c>
      <c r="E98" s="23" t="str">
        <f t="shared" si="1"/>
        <v/>
      </c>
      <c r="G98" s="23"/>
    </row>
    <row r="99" ht="15.75" customHeight="1">
      <c r="A99" s="23"/>
      <c r="D99" s="23" t="str">
        <f t="array" ref="D99">IF(OR($A99="",$G99=""),"",_xlfn.XLOOKUP($G99,Labor_Rates!$A$3:$A$7,Labor_Rates!$B$3:$B$7,""))</f>
        <v/>
      </c>
      <c r="E99" s="23" t="str">
        <f t="shared" si="1"/>
        <v/>
      </c>
      <c r="G99" s="23"/>
    </row>
    <row r="100" ht="15.75" customHeight="1">
      <c r="A100" s="23"/>
      <c r="D100" s="23" t="str">
        <f t="array" ref="D100">IF(OR($A100="",$G100=""),"",_xlfn.XLOOKUP($G100,Labor_Rates!$A$3:$A$7,Labor_Rates!$B$3:$B$7,""))</f>
        <v/>
      </c>
      <c r="E100" s="23" t="str">
        <f t="shared" si="1"/>
        <v/>
      </c>
      <c r="G100" s="23"/>
    </row>
    <row r="101" ht="15.75" customHeight="1">
      <c r="A101" s="23"/>
      <c r="D101" s="23" t="str">
        <f t="array" ref="D101">IF(OR($A101="",$G101=""),"",_xlfn.XLOOKUP($G101,Labor_Rates!$A$3:$A$7,Labor_Rates!$B$3:$B$7,""))</f>
        <v/>
      </c>
      <c r="E101" s="23" t="str">
        <f t="shared" si="1"/>
        <v/>
      </c>
      <c r="G101" s="23"/>
    </row>
    <row r="102" ht="15.75" customHeight="1">
      <c r="A102" s="23"/>
      <c r="D102" s="23" t="str">
        <f t="array" ref="D102">IF(OR($A102="",$G102=""),"",_xlfn.XLOOKUP($G102,Labor_Rates!$A$3:$A$7,Labor_Rates!$B$3:$B$7,""))</f>
        <v/>
      </c>
      <c r="E102" s="23" t="str">
        <f t="shared" si="1"/>
        <v/>
      </c>
      <c r="G102" s="23"/>
    </row>
    <row r="103" ht="15.75" customHeight="1">
      <c r="A103" s="23"/>
      <c r="D103" s="23" t="str">
        <f t="array" ref="D103">IF(OR($A103="",$G103=""),"",_xlfn.XLOOKUP($G103,Labor_Rates!$A$3:$A$7,Labor_Rates!$B$3:$B$7,""))</f>
        <v/>
      </c>
      <c r="E103" s="23" t="str">
        <f t="shared" si="1"/>
        <v/>
      </c>
      <c r="G103" s="23"/>
    </row>
    <row r="104" ht="15.75" customHeight="1">
      <c r="A104" s="23"/>
      <c r="D104" s="23" t="str">
        <f t="array" ref="D104">IF(OR($A104="",$G104=""),"",_xlfn.XLOOKUP($G104,Labor_Rates!$A$3:$A$7,Labor_Rates!$B$3:$B$7,""))</f>
        <v/>
      </c>
      <c r="E104" s="23" t="str">
        <f t="shared" si="1"/>
        <v/>
      </c>
      <c r="G104" s="23"/>
    </row>
    <row r="105" ht="15.75" customHeight="1">
      <c r="A105" s="23"/>
      <c r="D105" s="23" t="str">
        <f t="array" ref="D105">IF(OR($A105="",$G105=""),"",_xlfn.XLOOKUP($G105,Labor_Rates!$A$3:$A$7,Labor_Rates!$B$3:$B$7,""))</f>
        <v/>
      </c>
      <c r="E105" s="23" t="str">
        <f t="shared" si="1"/>
        <v/>
      </c>
      <c r="G105" s="23"/>
    </row>
    <row r="106" ht="15.75" customHeight="1">
      <c r="A106" s="23"/>
      <c r="D106" s="23" t="str">
        <f t="array" ref="D106">IF(OR($A106="",$G106=""),"",_xlfn.XLOOKUP($G106,Labor_Rates!$A$3:$A$7,Labor_Rates!$B$3:$B$7,""))</f>
        <v/>
      </c>
      <c r="E106" s="23" t="str">
        <f t="shared" si="1"/>
        <v/>
      </c>
      <c r="G106" s="23"/>
    </row>
    <row r="107" ht="15.75" customHeight="1">
      <c r="A107" s="23"/>
      <c r="D107" s="23" t="str">
        <f t="array" ref="D107">IF(OR($A107="",$G107=""),"",_xlfn.XLOOKUP($G107,Labor_Rates!$A$3:$A$7,Labor_Rates!$B$3:$B$7,""))</f>
        <v/>
      </c>
      <c r="E107" s="23" t="str">
        <f t="shared" si="1"/>
        <v/>
      </c>
      <c r="G107" s="23"/>
    </row>
    <row r="108" ht="15.75" customHeight="1">
      <c r="A108" s="23"/>
      <c r="D108" s="23" t="str">
        <f t="array" ref="D108">IF(OR($A108="",$G108=""),"",_xlfn.XLOOKUP($G108,Labor_Rates!$A$3:$A$7,Labor_Rates!$B$3:$B$7,""))</f>
        <v/>
      </c>
      <c r="E108" s="23" t="str">
        <f t="shared" si="1"/>
        <v/>
      </c>
      <c r="G108" s="23"/>
    </row>
    <row r="109" ht="15.75" customHeight="1">
      <c r="A109" s="23"/>
      <c r="D109" s="23" t="str">
        <f t="array" ref="D109">IF(OR($A109="",$G109=""),"",_xlfn.XLOOKUP($G109,Labor_Rates!$A$3:$A$7,Labor_Rates!$B$3:$B$7,""))</f>
        <v/>
      </c>
      <c r="E109" s="23" t="str">
        <f t="shared" si="1"/>
        <v/>
      </c>
      <c r="G109" s="23"/>
    </row>
    <row r="110" ht="15.75" customHeight="1">
      <c r="A110" s="23"/>
      <c r="D110" s="23" t="str">
        <f t="array" ref="D110">IF(OR($A110="",$G110=""),"",_xlfn.XLOOKUP($G110,Labor_Rates!$A$3:$A$7,Labor_Rates!$B$3:$B$7,""))</f>
        <v/>
      </c>
      <c r="E110" s="23" t="str">
        <f t="shared" si="1"/>
        <v/>
      </c>
      <c r="G110" s="23"/>
    </row>
    <row r="111" ht="15.75" customHeight="1">
      <c r="A111" s="23"/>
      <c r="D111" s="23" t="str">
        <f t="array" ref="D111">IF(OR($A111="",$G111=""),"",_xlfn.XLOOKUP($G111,Labor_Rates!$A$3:$A$7,Labor_Rates!$B$3:$B$7,""))</f>
        <v/>
      </c>
      <c r="E111" s="23" t="str">
        <f t="shared" si="1"/>
        <v/>
      </c>
      <c r="G111" s="23"/>
    </row>
    <row r="112" ht="15.75" customHeight="1">
      <c r="A112" s="23"/>
      <c r="D112" s="23" t="str">
        <f t="array" ref="D112">IF(OR($A112="",$G112=""),"",_xlfn.XLOOKUP($G112,Labor_Rates!$A$3:$A$7,Labor_Rates!$B$3:$B$7,""))</f>
        <v/>
      </c>
      <c r="E112" s="23" t="str">
        <f t="shared" si="1"/>
        <v/>
      </c>
      <c r="G112" s="23"/>
    </row>
    <row r="113" ht="15.75" customHeight="1">
      <c r="A113" s="23"/>
      <c r="D113" s="23" t="str">
        <f t="array" ref="D113">IF(OR($A113="",$G113=""),"",_xlfn.XLOOKUP($G113,Labor_Rates!$A$3:$A$7,Labor_Rates!$B$3:$B$7,""))</f>
        <v/>
      </c>
      <c r="E113" s="23" t="str">
        <f t="shared" si="1"/>
        <v/>
      </c>
      <c r="G113" s="23"/>
    </row>
    <row r="114" ht="15.75" customHeight="1">
      <c r="A114" s="23"/>
      <c r="D114" s="23" t="str">
        <f t="array" ref="D114">IF(OR($A114="",$G114=""),"",_xlfn.XLOOKUP($G114,Labor_Rates!$A$3:$A$7,Labor_Rates!$B$3:$B$7,""))</f>
        <v/>
      </c>
      <c r="E114" s="23" t="str">
        <f t="shared" si="1"/>
        <v/>
      </c>
      <c r="G114" s="23"/>
    </row>
    <row r="115" ht="15.75" customHeight="1">
      <c r="A115" s="23"/>
      <c r="D115" s="23" t="str">
        <f t="array" ref="D115">IF(OR($A115="",$G115=""),"",_xlfn.XLOOKUP($G115,Labor_Rates!$A$3:$A$7,Labor_Rates!$B$3:$B$7,""))</f>
        <v/>
      </c>
      <c r="E115" s="23" t="str">
        <f t="shared" si="1"/>
        <v/>
      </c>
      <c r="G115" s="23"/>
    </row>
    <row r="116" ht="15.75" customHeight="1">
      <c r="A116" s="23"/>
      <c r="D116" s="23" t="str">
        <f t="array" ref="D116">IF(OR($A116="",$G116=""),"",_xlfn.XLOOKUP($G116,Labor_Rates!$A$3:$A$7,Labor_Rates!$B$3:$B$7,""))</f>
        <v/>
      </c>
      <c r="E116" s="23" t="str">
        <f t="shared" si="1"/>
        <v/>
      </c>
      <c r="G116" s="23"/>
    </row>
    <row r="117" ht="15.75" customHeight="1">
      <c r="A117" s="23"/>
      <c r="D117" s="23" t="str">
        <f t="array" ref="D117">IF(OR($A117="",$G117=""),"",_xlfn.XLOOKUP($G117,Labor_Rates!$A$3:$A$7,Labor_Rates!$B$3:$B$7,""))</f>
        <v/>
      </c>
      <c r="E117" s="23" t="str">
        <f t="shared" si="1"/>
        <v/>
      </c>
      <c r="G117" s="23"/>
    </row>
    <row r="118" ht="15.75" customHeight="1">
      <c r="A118" s="23"/>
      <c r="D118" s="23" t="str">
        <f t="array" ref="D118">IF(OR($A118="",$G118=""),"",_xlfn.XLOOKUP($G118,Labor_Rates!$A$3:$A$7,Labor_Rates!$B$3:$B$7,""))</f>
        <v/>
      </c>
      <c r="E118" s="23" t="str">
        <f t="shared" si="1"/>
        <v/>
      </c>
      <c r="G118" s="23"/>
    </row>
    <row r="119" ht="15.75" customHeight="1">
      <c r="A119" s="23"/>
      <c r="D119" s="23" t="str">
        <f t="array" ref="D119">IF(OR($A119="",$G119=""),"",_xlfn.XLOOKUP($G119,Labor_Rates!$A$3:$A$7,Labor_Rates!$B$3:$B$7,""))</f>
        <v/>
      </c>
      <c r="E119" s="23" t="str">
        <f t="shared" si="1"/>
        <v/>
      </c>
      <c r="G119" s="23"/>
    </row>
    <row r="120" ht="15.75" customHeight="1">
      <c r="A120" s="23"/>
      <c r="D120" s="23" t="str">
        <f t="array" ref="D120">IF(OR($A120="",$G120=""),"",_xlfn.XLOOKUP($G120,Labor_Rates!$A$3:$A$7,Labor_Rates!$B$3:$B$7,""))</f>
        <v/>
      </c>
      <c r="E120" s="23" t="str">
        <f t="shared" si="1"/>
        <v/>
      </c>
      <c r="G120" s="23"/>
    </row>
    <row r="121" ht="15.75" customHeight="1">
      <c r="A121" s="23"/>
      <c r="D121" s="23" t="str">
        <f t="array" ref="D121">IF(OR($A121="",$G121=""),"",_xlfn.XLOOKUP($G121,Labor_Rates!$A$3:$A$7,Labor_Rates!$B$3:$B$7,""))</f>
        <v/>
      </c>
      <c r="E121" s="23" t="str">
        <f t="shared" si="1"/>
        <v/>
      </c>
      <c r="G121" s="23"/>
    </row>
    <row r="122" ht="15.75" customHeight="1">
      <c r="A122" s="23"/>
      <c r="D122" s="23" t="str">
        <f t="array" ref="D122">IF(OR($A122="",$G122=""),"",_xlfn.XLOOKUP($G122,Labor_Rates!$A$3:$A$7,Labor_Rates!$B$3:$B$7,""))</f>
        <v/>
      </c>
      <c r="E122" s="23" t="str">
        <f t="shared" si="1"/>
        <v/>
      </c>
      <c r="G122" s="23"/>
    </row>
    <row r="123" ht="15.75" customHeight="1">
      <c r="A123" s="23"/>
      <c r="D123" s="23" t="str">
        <f t="array" ref="D123">IF(OR($A123="",$G123=""),"",_xlfn.XLOOKUP($G123,Labor_Rates!$A$3:$A$7,Labor_Rates!$B$3:$B$7,""))</f>
        <v/>
      </c>
      <c r="E123" s="23" t="str">
        <f t="shared" si="1"/>
        <v/>
      </c>
      <c r="G123" s="23"/>
    </row>
    <row r="124" ht="15.75" customHeight="1">
      <c r="A124" s="23"/>
      <c r="D124" s="23" t="str">
        <f t="array" ref="D124">IF(OR($A124="",$G124=""),"",_xlfn.XLOOKUP($G124,Labor_Rates!$A$3:$A$7,Labor_Rates!$B$3:$B$7,""))</f>
        <v/>
      </c>
      <c r="E124" s="23" t="str">
        <f t="shared" si="1"/>
        <v/>
      </c>
      <c r="G124" s="23"/>
    </row>
    <row r="125" ht="15.75" customHeight="1">
      <c r="A125" s="23"/>
      <c r="D125" s="23" t="str">
        <f t="array" ref="D125">IF(OR($A125="",$G125=""),"",_xlfn.XLOOKUP($G125,Labor_Rates!$A$3:$A$7,Labor_Rates!$B$3:$B$7,""))</f>
        <v/>
      </c>
      <c r="E125" s="23" t="str">
        <f t="shared" si="1"/>
        <v/>
      </c>
      <c r="G125" s="23"/>
    </row>
    <row r="126" ht="15.75" customHeight="1">
      <c r="A126" s="23"/>
      <c r="D126" s="23" t="str">
        <f t="array" ref="D126">IF(OR($A126="",$G126=""),"",_xlfn.XLOOKUP($G126,Labor_Rates!$A$3:$A$7,Labor_Rates!$B$3:$B$7,""))</f>
        <v/>
      </c>
      <c r="E126" s="23" t="str">
        <f t="shared" si="1"/>
        <v/>
      </c>
      <c r="G126" s="23"/>
    </row>
    <row r="127" ht="15.75" customHeight="1">
      <c r="A127" s="23"/>
      <c r="D127" s="23" t="str">
        <f t="array" ref="D127">IF(OR($A127="",$G127=""),"",_xlfn.XLOOKUP($G127,Labor_Rates!$A$3:$A$7,Labor_Rates!$B$3:$B$7,""))</f>
        <v/>
      </c>
      <c r="E127" s="23" t="str">
        <f t="shared" si="1"/>
        <v/>
      </c>
      <c r="G127" s="23"/>
    </row>
    <row r="128" ht="15.75" customHeight="1">
      <c r="A128" s="23"/>
      <c r="D128" s="23" t="str">
        <f t="array" ref="D128">IF(OR($A128="",$G128=""),"",_xlfn.XLOOKUP($G128,Labor_Rates!$A$3:$A$7,Labor_Rates!$B$3:$B$7,""))</f>
        <v/>
      </c>
      <c r="E128" s="23" t="str">
        <f t="shared" si="1"/>
        <v/>
      </c>
      <c r="G128" s="23"/>
    </row>
    <row r="129" ht="15.75" customHeight="1">
      <c r="A129" s="23"/>
      <c r="D129" s="23" t="str">
        <f t="array" ref="D129">IF(OR($A129="",$G129=""),"",_xlfn.XLOOKUP($G129,Labor_Rates!$A$3:$A$7,Labor_Rates!$B$3:$B$7,""))</f>
        <v/>
      </c>
      <c r="E129" s="23" t="str">
        <f t="shared" si="1"/>
        <v/>
      </c>
      <c r="G129" s="23"/>
    </row>
    <row r="130" ht="15.75" customHeight="1">
      <c r="A130" s="23"/>
      <c r="D130" s="23" t="str">
        <f t="array" ref="D130">IF(OR($A130="",$G130=""),"",_xlfn.XLOOKUP($G130,Labor_Rates!$A$3:$A$7,Labor_Rates!$B$3:$B$7,""))</f>
        <v/>
      </c>
      <c r="E130" s="23" t="str">
        <f t="shared" si="1"/>
        <v/>
      </c>
      <c r="G130" s="23"/>
    </row>
    <row r="131" ht="15.75" customHeight="1">
      <c r="A131" s="23"/>
      <c r="D131" s="23" t="str">
        <f t="array" ref="D131">IF(OR($A131="",$G131=""),"",_xlfn.XLOOKUP($G131,Labor_Rates!$A$3:$A$7,Labor_Rates!$B$3:$B$7,""))</f>
        <v/>
      </c>
      <c r="E131" s="23" t="str">
        <f t="shared" si="1"/>
        <v/>
      </c>
      <c r="G131" s="23"/>
    </row>
    <row r="132" ht="15.75" customHeight="1">
      <c r="A132" s="23"/>
      <c r="D132" s="23" t="str">
        <f t="array" ref="D132">IF(OR($A132="",$G132=""),"",_xlfn.XLOOKUP($G132,Labor_Rates!$A$3:$A$7,Labor_Rates!$B$3:$B$7,""))</f>
        <v/>
      </c>
      <c r="E132" s="23" t="str">
        <f t="shared" si="1"/>
        <v/>
      </c>
      <c r="G132" s="23"/>
    </row>
    <row r="133" ht="15.75" customHeight="1">
      <c r="A133" s="23"/>
      <c r="D133" s="23" t="str">
        <f t="array" ref="D133">IF(OR($A133="",$G133=""),"",_xlfn.XLOOKUP($G133,Labor_Rates!$A$3:$A$7,Labor_Rates!$B$3:$B$7,""))</f>
        <v/>
      </c>
      <c r="E133" s="23" t="str">
        <f t="shared" si="1"/>
        <v/>
      </c>
      <c r="G133" s="23"/>
    </row>
    <row r="134" ht="15.75" customHeight="1">
      <c r="A134" s="23"/>
      <c r="D134" s="23" t="str">
        <f t="array" ref="D134">IF(OR($A134="",$G134=""),"",_xlfn.XLOOKUP($G134,Labor_Rates!$A$3:$A$7,Labor_Rates!$B$3:$B$7,""))</f>
        <v/>
      </c>
      <c r="E134" s="23" t="str">
        <f t="shared" si="1"/>
        <v/>
      </c>
      <c r="G134" s="23"/>
    </row>
    <row r="135" ht="15.75" customHeight="1">
      <c r="A135" s="23"/>
      <c r="D135" s="23" t="str">
        <f t="array" ref="D135">IF(OR($A135="",$G135=""),"",_xlfn.XLOOKUP($G135,Labor_Rates!$A$3:$A$7,Labor_Rates!$B$3:$B$7,""))</f>
        <v/>
      </c>
      <c r="E135" s="23" t="str">
        <f t="shared" si="1"/>
        <v/>
      </c>
      <c r="G135" s="23"/>
    </row>
    <row r="136" ht="15.75" customHeight="1">
      <c r="A136" s="23"/>
      <c r="D136" s="23" t="str">
        <f t="array" ref="D136">IF(OR($A136="",$G136=""),"",_xlfn.XLOOKUP($G136,Labor_Rates!$A$3:$A$7,Labor_Rates!$B$3:$B$7,""))</f>
        <v/>
      </c>
      <c r="E136" s="23" t="str">
        <f t="shared" si="1"/>
        <v/>
      </c>
      <c r="G136" s="23"/>
    </row>
    <row r="137" ht="15.75" customHeight="1">
      <c r="A137" s="23"/>
      <c r="D137" s="23" t="str">
        <f t="array" ref="D137">IF(OR($A137="",$G137=""),"",_xlfn.XLOOKUP($G137,Labor_Rates!$A$3:$A$7,Labor_Rates!$B$3:$B$7,""))</f>
        <v/>
      </c>
      <c r="E137" s="23" t="str">
        <f t="shared" si="1"/>
        <v/>
      </c>
      <c r="G137" s="23"/>
    </row>
    <row r="138" ht="15.75" customHeight="1">
      <c r="A138" s="23"/>
      <c r="D138" s="23" t="str">
        <f t="array" ref="D138">IF(OR($A138="",$G138=""),"",_xlfn.XLOOKUP($G138,Labor_Rates!$A$3:$A$7,Labor_Rates!$B$3:$B$7,""))</f>
        <v/>
      </c>
      <c r="E138" s="23" t="str">
        <f t="shared" si="1"/>
        <v/>
      </c>
      <c r="G138" s="23"/>
    </row>
    <row r="139" ht="15.75" customHeight="1">
      <c r="A139" s="23"/>
      <c r="D139" s="23" t="str">
        <f t="array" ref="D139">IF(OR($A139="",$G139=""),"",_xlfn.XLOOKUP($G139,Labor_Rates!$A$3:$A$7,Labor_Rates!$B$3:$B$7,""))</f>
        <v/>
      </c>
      <c r="E139" s="23" t="str">
        <f t="shared" si="1"/>
        <v/>
      </c>
      <c r="G139" s="23"/>
    </row>
    <row r="140" ht="15.75" customHeight="1">
      <c r="A140" s="23"/>
      <c r="D140" s="23" t="str">
        <f t="array" ref="D140">IF(OR($A140="",$G140=""),"",_xlfn.XLOOKUP($G140,Labor_Rates!$A$3:$A$7,Labor_Rates!$B$3:$B$7,""))</f>
        <v/>
      </c>
      <c r="E140" s="23" t="str">
        <f t="shared" si="1"/>
        <v/>
      </c>
      <c r="G140" s="23"/>
    </row>
    <row r="141" ht="15.75" customHeight="1">
      <c r="A141" s="23"/>
      <c r="D141" s="23" t="str">
        <f t="array" ref="D141">IF(OR($A141="",$G141=""),"",_xlfn.XLOOKUP($G141,Labor_Rates!$A$3:$A$7,Labor_Rates!$B$3:$B$7,""))</f>
        <v/>
      </c>
      <c r="E141" s="23" t="str">
        <f t="shared" si="1"/>
        <v/>
      </c>
      <c r="G141" s="23"/>
    </row>
    <row r="142" ht="15.75" customHeight="1">
      <c r="A142" s="23"/>
      <c r="D142" s="23" t="str">
        <f t="array" ref="D142">IF(OR($A142="",$G142=""),"",_xlfn.XLOOKUP($G142,Labor_Rates!$A$3:$A$7,Labor_Rates!$B$3:$B$7,""))</f>
        <v/>
      </c>
      <c r="E142" s="23" t="str">
        <f t="shared" si="1"/>
        <v/>
      </c>
      <c r="G142" s="23"/>
    </row>
    <row r="143" ht="15.75" customHeight="1">
      <c r="A143" s="23"/>
      <c r="D143" s="23" t="str">
        <f t="array" ref="D143">IF(OR($A143="",$G143=""),"",_xlfn.XLOOKUP($G143,Labor_Rates!$A$3:$A$7,Labor_Rates!$B$3:$B$7,""))</f>
        <v/>
      </c>
      <c r="E143" s="23" t="str">
        <f t="shared" si="1"/>
        <v/>
      </c>
      <c r="G143" s="23"/>
    </row>
    <row r="144" ht="15.75" customHeight="1">
      <c r="A144" s="23"/>
      <c r="D144" s="23" t="str">
        <f t="array" ref="D144">IF(OR($A144="",$G144=""),"",_xlfn.XLOOKUP($G144,Labor_Rates!$A$3:$A$7,Labor_Rates!$B$3:$B$7,""))</f>
        <v/>
      </c>
      <c r="E144" s="23" t="str">
        <f t="shared" si="1"/>
        <v/>
      </c>
      <c r="G144" s="23"/>
    </row>
    <row r="145" ht="15.75" customHeight="1">
      <c r="A145" s="23"/>
      <c r="D145" s="23" t="str">
        <f t="array" ref="D145">IF(OR($A145="",$G145=""),"",_xlfn.XLOOKUP($G145,Labor_Rates!$A$3:$A$7,Labor_Rates!$B$3:$B$7,""))</f>
        <v/>
      </c>
      <c r="E145" s="23" t="str">
        <f t="shared" si="1"/>
        <v/>
      </c>
      <c r="G145" s="23"/>
    </row>
    <row r="146" ht="15.75" customHeight="1">
      <c r="A146" s="23"/>
      <c r="D146" s="23" t="str">
        <f t="array" ref="D146">IF(OR($A146="",$G146=""),"",_xlfn.XLOOKUP($G146,Labor_Rates!$A$3:$A$7,Labor_Rates!$B$3:$B$7,""))</f>
        <v/>
      </c>
      <c r="E146" s="23" t="str">
        <f t="shared" si="1"/>
        <v/>
      </c>
      <c r="G146" s="23"/>
    </row>
    <row r="147" ht="15.75" customHeight="1">
      <c r="A147" s="23"/>
      <c r="D147" s="23" t="str">
        <f t="array" ref="D147">IF(OR($A147="",$G147=""),"",_xlfn.XLOOKUP($G147,Labor_Rates!$A$3:$A$7,Labor_Rates!$B$3:$B$7,""))</f>
        <v/>
      </c>
      <c r="E147" s="23" t="str">
        <f t="shared" si="1"/>
        <v/>
      </c>
      <c r="G147" s="23"/>
    </row>
    <row r="148" ht="15.75" customHeight="1">
      <c r="A148" s="23"/>
      <c r="D148" s="23" t="str">
        <f t="array" ref="D148">IF(OR($A148="",$G148=""),"",_xlfn.XLOOKUP($G148,Labor_Rates!$A$3:$A$7,Labor_Rates!$B$3:$B$7,""))</f>
        <v/>
      </c>
      <c r="E148" s="23" t="str">
        <f t="shared" si="1"/>
        <v/>
      </c>
      <c r="G148" s="23"/>
    </row>
    <row r="149" ht="15.75" customHeight="1">
      <c r="A149" s="23"/>
      <c r="D149" s="23" t="str">
        <f t="array" ref="D149">IF(OR($A149="",$G149=""),"",_xlfn.XLOOKUP($G149,Labor_Rates!$A$3:$A$7,Labor_Rates!$B$3:$B$7,""))</f>
        <v/>
      </c>
      <c r="E149" s="23" t="str">
        <f t="shared" si="1"/>
        <v/>
      </c>
      <c r="G149" s="23"/>
    </row>
    <row r="150" ht="15.75" customHeight="1">
      <c r="A150" s="23"/>
      <c r="D150" s="23" t="str">
        <f t="array" ref="D150">IF(OR($A150="",$G150=""),"",_xlfn.XLOOKUP($G150,Labor_Rates!$A$3:$A$7,Labor_Rates!$B$3:$B$7,""))</f>
        <v/>
      </c>
      <c r="E150" s="23" t="str">
        <f t="shared" si="1"/>
        <v/>
      </c>
      <c r="G150" s="23"/>
    </row>
    <row r="151" ht="15.75" customHeight="1">
      <c r="A151" s="23"/>
      <c r="D151" s="23" t="str">
        <f t="array" ref="D151">IF(OR($A151="",$G151=""),"",_xlfn.XLOOKUP($G151,Labor_Rates!$A$3:$A$7,Labor_Rates!$B$3:$B$7,""))</f>
        <v/>
      </c>
      <c r="E151" s="23" t="str">
        <f t="shared" si="1"/>
        <v/>
      </c>
      <c r="G151" s="23"/>
    </row>
    <row r="152" ht="15.75" customHeight="1">
      <c r="A152" s="23"/>
      <c r="D152" s="23" t="str">
        <f t="array" ref="D152">IF(OR($A152="",$G152=""),"",_xlfn.XLOOKUP($G152,Labor_Rates!$A$3:$A$7,Labor_Rates!$B$3:$B$7,""))</f>
        <v/>
      </c>
      <c r="E152" s="23" t="str">
        <f t="shared" si="1"/>
        <v/>
      </c>
      <c r="G152" s="23"/>
    </row>
    <row r="153" ht="15.75" customHeight="1">
      <c r="A153" s="23"/>
      <c r="D153" s="23" t="str">
        <f t="array" ref="D153">IF(OR($A153="",$G153=""),"",_xlfn.XLOOKUP($G153,Labor_Rates!$A$3:$A$7,Labor_Rates!$B$3:$B$7,""))</f>
        <v/>
      </c>
      <c r="E153" s="23" t="str">
        <f t="shared" si="1"/>
        <v/>
      </c>
      <c r="G153" s="23"/>
    </row>
    <row r="154" ht="15.75" customHeight="1">
      <c r="A154" s="23"/>
      <c r="D154" s="23" t="str">
        <f t="array" ref="D154">IF(OR($A154="",$G154=""),"",_xlfn.XLOOKUP($G154,Labor_Rates!$A$3:$A$7,Labor_Rates!$B$3:$B$7,""))</f>
        <v/>
      </c>
      <c r="E154" s="23" t="str">
        <f t="shared" si="1"/>
        <v/>
      </c>
      <c r="G154" s="23"/>
    </row>
    <row r="155" ht="15.75" customHeight="1">
      <c r="A155" s="23"/>
      <c r="D155" s="23" t="str">
        <f t="array" ref="D155">IF(OR($A155="",$G155=""),"",_xlfn.XLOOKUP($G155,Labor_Rates!$A$3:$A$7,Labor_Rates!$B$3:$B$7,""))</f>
        <v/>
      </c>
      <c r="E155" s="23" t="str">
        <f t="shared" si="1"/>
        <v/>
      </c>
      <c r="G155" s="23"/>
    </row>
    <row r="156" ht="15.75" customHeight="1">
      <c r="A156" s="23"/>
      <c r="D156" s="23" t="str">
        <f t="array" ref="D156">IF(OR($A156="",$G156=""),"",_xlfn.XLOOKUP($G156,Labor_Rates!$A$3:$A$7,Labor_Rates!$B$3:$B$7,""))</f>
        <v/>
      </c>
      <c r="E156" s="23" t="str">
        <f t="shared" si="1"/>
        <v/>
      </c>
      <c r="G156" s="23"/>
    </row>
    <row r="157" ht="15.75" customHeight="1">
      <c r="A157" s="23"/>
      <c r="D157" s="23" t="str">
        <f t="array" ref="D157">IF(OR($A157="",$G157=""),"",_xlfn.XLOOKUP($G157,Labor_Rates!$A$3:$A$7,Labor_Rates!$B$3:$B$7,""))</f>
        <v/>
      </c>
      <c r="E157" s="23" t="str">
        <f t="shared" si="1"/>
        <v/>
      </c>
      <c r="G157" s="23"/>
    </row>
    <row r="158" ht="15.75" customHeight="1">
      <c r="A158" s="23"/>
      <c r="D158" s="23" t="str">
        <f t="array" ref="D158">IF(OR($A158="",$G158=""),"",_xlfn.XLOOKUP($G158,Labor_Rates!$A$3:$A$7,Labor_Rates!$B$3:$B$7,""))</f>
        <v/>
      </c>
      <c r="E158" s="23" t="str">
        <f t="shared" si="1"/>
        <v/>
      </c>
      <c r="G158" s="23"/>
    </row>
    <row r="159" ht="15.75" customHeight="1">
      <c r="A159" s="23"/>
      <c r="D159" s="23" t="str">
        <f t="array" ref="D159">IF(OR($A159="",$G159=""),"",_xlfn.XLOOKUP($G159,Labor_Rates!$A$3:$A$7,Labor_Rates!$B$3:$B$7,""))</f>
        <v/>
      </c>
      <c r="E159" s="23" t="str">
        <f t="shared" si="1"/>
        <v/>
      </c>
      <c r="G159" s="23"/>
    </row>
    <row r="160" ht="15.75" customHeight="1">
      <c r="A160" s="23"/>
      <c r="D160" s="23" t="str">
        <f t="array" ref="D160">IF(OR($A160="",$G160=""),"",_xlfn.XLOOKUP($G160,Labor_Rates!$A$3:$A$7,Labor_Rates!$B$3:$B$7,""))</f>
        <v/>
      </c>
      <c r="E160" s="23" t="str">
        <f t="shared" si="1"/>
        <v/>
      </c>
      <c r="G160" s="23"/>
    </row>
    <row r="161" ht="15.75" customHeight="1">
      <c r="A161" s="23"/>
      <c r="D161" s="23" t="str">
        <f t="array" ref="D161">IF(OR($A161="",$G161=""),"",_xlfn.XLOOKUP($G161,Labor_Rates!$A$3:$A$7,Labor_Rates!$B$3:$B$7,""))</f>
        <v/>
      </c>
      <c r="E161" s="23" t="str">
        <f t="shared" si="1"/>
        <v/>
      </c>
      <c r="G161" s="23"/>
    </row>
    <row r="162" ht="15.75" customHeight="1">
      <c r="A162" s="23"/>
      <c r="D162" s="23" t="str">
        <f t="array" ref="D162">IF(OR($A162="",$G162=""),"",_xlfn.XLOOKUP($G162,Labor_Rates!$A$3:$A$7,Labor_Rates!$B$3:$B$7,""))</f>
        <v/>
      </c>
      <c r="E162" s="23" t="str">
        <f t="shared" si="1"/>
        <v/>
      </c>
      <c r="G162" s="23"/>
    </row>
    <row r="163" ht="15.75" customHeight="1">
      <c r="A163" s="23"/>
      <c r="D163" s="23" t="str">
        <f t="array" ref="D163">IF(OR($A163="",$G163=""),"",_xlfn.XLOOKUP($G163,Labor_Rates!$A$3:$A$7,Labor_Rates!$B$3:$B$7,""))</f>
        <v/>
      </c>
      <c r="E163" s="23" t="str">
        <f t="shared" si="1"/>
        <v/>
      </c>
      <c r="G163" s="23"/>
    </row>
    <row r="164" ht="15.75" customHeight="1">
      <c r="A164" s="23"/>
      <c r="D164" s="23" t="str">
        <f t="array" ref="D164">IF(OR($A164="",$G164=""),"",_xlfn.XLOOKUP($G164,Labor_Rates!$A$3:$A$7,Labor_Rates!$B$3:$B$7,""))</f>
        <v/>
      </c>
      <c r="E164" s="23" t="str">
        <f t="shared" si="1"/>
        <v/>
      </c>
      <c r="G164" s="23"/>
    </row>
    <row r="165" ht="15.75" customHeight="1">
      <c r="A165" s="23"/>
      <c r="D165" s="23" t="str">
        <f t="array" ref="D165">IF(OR($A165="",$G165=""),"",_xlfn.XLOOKUP($G165,Labor_Rates!$A$3:$A$7,Labor_Rates!$B$3:$B$7,""))</f>
        <v/>
      </c>
      <c r="E165" s="23" t="str">
        <f t="shared" si="1"/>
        <v/>
      </c>
      <c r="G165" s="23"/>
    </row>
    <row r="166" ht="15.75" customHeight="1">
      <c r="A166" s="23"/>
      <c r="D166" s="23" t="str">
        <f t="array" ref="D166">IF(OR($A166="",$G166=""),"",_xlfn.XLOOKUP($G166,Labor_Rates!$A$3:$A$7,Labor_Rates!$B$3:$B$7,""))</f>
        <v/>
      </c>
      <c r="E166" s="23" t="str">
        <f t="shared" si="1"/>
        <v/>
      </c>
      <c r="G166" s="23"/>
    </row>
    <row r="167" ht="15.75" customHeight="1">
      <c r="A167" s="23"/>
      <c r="D167" s="23" t="str">
        <f t="array" ref="D167">IF(OR($A167="",$G167=""),"",_xlfn.XLOOKUP($G167,Labor_Rates!$A$3:$A$7,Labor_Rates!$B$3:$B$7,""))</f>
        <v/>
      </c>
      <c r="E167" s="23" t="str">
        <f t="shared" si="1"/>
        <v/>
      </c>
      <c r="G167" s="23"/>
    </row>
    <row r="168" ht="15.75" customHeight="1">
      <c r="A168" s="23"/>
      <c r="D168" s="23" t="str">
        <f t="array" ref="D168">IF(OR($A168="",$G168=""),"",_xlfn.XLOOKUP($G168,Labor_Rates!$A$3:$A$7,Labor_Rates!$B$3:$B$7,""))</f>
        <v/>
      </c>
      <c r="E168" s="23" t="str">
        <f t="shared" si="1"/>
        <v/>
      </c>
      <c r="G168" s="23"/>
    </row>
    <row r="169" ht="15.75" customHeight="1">
      <c r="A169" s="23"/>
      <c r="D169" s="23" t="str">
        <f t="array" ref="D169">IF(OR($A169="",$G169=""),"",_xlfn.XLOOKUP($G169,Labor_Rates!$A$3:$A$7,Labor_Rates!$B$3:$B$7,""))</f>
        <v/>
      </c>
      <c r="E169" s="23" t="str">
        <f t="shared" si="1"/>
        <v/>
      </c>
      <c r="G169" s="23"/>
    </row>
    <row r="170" ht="15.75" customHeight="1">
      <c r="A170" s="23"/>
      <c r="D170" s="23" t="str">
        <f t="array" ref="D170">IF(OR($A170="",$G170=""),"",_xlfn.XLOOKUP($G170,Labor_Rates!$A$3:$A$7,Labor_Rates!$B$3:$B$7,""))</f>
        <v/>
      </c>
      <c r="E170" s="23" t="str">
        <f t="shared" si="1"/>
        <v/>
      </c>
      <c r="G170" s="23"/>
    </row>
    <row r="171" ht="15.75" customHeight="1">
      <c r="A171" s="23"/>
      <c r="D171" s="23" t="str">
        <f t="array" ref="D171">IF(OR($A171="",$G171=""),"",_xlfn.XLOOKUP($G171,Labor_Rates!$A$3:$A$7,Labor_Rates!$B$3:$B$7,""))</f>
        <v/>
      </c>
      <c r="E171" s="23" t="str">
        <f t="shared" si="1"/>
        <v/>
      </c>
      <c r="G171" s="23"/>
    </row>
    <row r="172" ht="15.75" customHeight="1">
      <c r="A172" s="23"/>
      <c r="D172" s="23" t="str">
        <f t="array" ref="D172">IF(OR($A172="",$G172=""),"",_xlfn.XLOOKUP($G172,Labor_Rates!$A$3:$A$7,Labor_Rates!$B$3:$B$7,""))</f>
        <v/>
      </c>
      <c r="E172" s="23" t="str">
        <f t="shared" si="1"/>
        <v/>
      </c>
      <c r="G172" s="23"/>
    </row>
    <row r="173" ht="15.75" customHeight="1">
      <c r="A173" s="23"/>
      <c r="D173" s="23" t="str">
        <f t="array" ref="D173">IF(OR($A173="",$G173=""),"",_xlfn.XLOOKUP($G173,Labor_Rates!$A$3:$A$7,Labor_Rates!$B$3:$B$7,""))</f>
        <v/>
      </c>
      <c r="E173" s="23" t="str">
        <f t="shared" si="1"/>
        <v/>
      </c>
      <c r="G173" s="23"/>
    </row>
    <row r="174" ht="15.75" customHeight="1">
      <c r="A174" s="23"/>
      <c r="D174" s="23" t="str">
        <f t="array" ref="D174">IF(OR($A174="",$G174=""),"",_xlfn.XLOOKUP($G174,Labor_Rates!$A$3:$A$7,Labor_Rates!$B$3:$B$7,""))</f>
        <v/>
      </c>
      <c r="E174" s="23" t="str">
        <f t="shared" si="1"/>
        <v/>
      </c>
      <c r="G174" s="23"/>
    </row>
    <row r="175" ht="15.75" customHeight="1">
      <c r="A175" s="23"/>
      <c r="D175" s="23" t="str">
        <f t="array" ref="D175">IF(OR($A175="",$G175=""),"",_xlfn.XLOOKUP($G175,Labor_Rates!$A$3:$A$7,Labor_Rates!$B$3:$B$7,""))</f>
        <v/>
      </c>
      <c r="E175" s="23" t="str">
        <f t="shared" si="1"/>
        <v/>
      </c>
      <c r="G175" s="23"/>
    </row>
    <row r="176" ht="15.75" customHeight="1">
      <c r="A176" s="23"/>
      <c r="D176" s="23" t="str">
        <f t="array" ref="D176">IF(OR($A176="",$G176=""),"",_xlfn.XLOOKUP($G176,Labor_Rates!$A$3:$A$7,Labor_Rates!$B$3:$B$7,""))</f>
        <v/>
      </c>
      <c r="E176" s="23" t="str">
        <f t="shared" si="1"/>
        <v/>
      </c>
      <c r="G176" s="23"/>
    </row>
    <row r="177" ht="15.75" customHeight="1">
      <c r="A177" s="23"/>
      <c r="D177" s="23" t="str">
        <f t="array" ref="D177">IF(OR($A177="",$G177=""),"",_xlfn.XLOOKUP($G177,Labor_Rates!$A$3:$A$7,Labor_Rates!$B$3:$B$7,""))</f>
        <v/>
      </c>
      <c r="E177" s="23" t="str">
        <f t="shared" si="1"/>
        <v/>
      </c>
      <c r="G177" s="23"/>
    </row>
    <row r="178" ht="15.75" customHeight="1">
      <c r="A178" s="23"/>
      <c r="D178" s="23" t="str">
        <f t="array" ref="D178">IF(OR($A178="",$G178=""),"",_xlfn.XLOOKUP($G178,Labor_Rates!$A$3:$A$7,Labor_Rates!$B$3:$B$7,""))</f>
        <v/>
      </c>
      <c r="E178" s="23" t="str">
        <f t="shared" si="1"/>
        <v/>
      </c>
      <c r="G178" s="23"/>
    </row>
    <row r="179" ht="15.75" customHeight="1">
      <c r="A179" s="23"/>
      <c r="D179" s="23" t="str">
        <f t="array" ref="D179">IF(OR($A179="",$G179=""),"",_xlfn.XLOOKUP($G179,Labor_Rates!$A$3:$A$7,Labor_Rates!$B$3:$B$7,""))</f>
        <v/>
      </c>
      <c r="E179" s="23" t="str">
        <f t="shared" si="1"/>
        <v/>
      </c>
      <c r="G179" s="23"/>
    </row>
    <row r="180" ht="15.75" customHeight="1">
      <c r="A180" s="23"/>
      <c r="D180" s="23" t="str">
        <f t="array" ref="D180">IF(OR($A180="",$G180=""),"",_xlfn.XLOOKUP($G180,Labor_Rates!$A$3:$A$7,Labor_Rates!$B$3:$B$7,""))</f>
        <v/>
      </c>
      <c r="E180" s="23" t="str">
        <f t="shared" si="1"/>
        <v/>
      </c>
      <c r="G180" s="23"/>
    </row>
    <row r="181" ht="15.75" customHeight="1">
      <c r="A181" s="23"/>
      <c r="D181" s="23" t="str">
        <f t="array" ref="D181">IF(OR($A181="",$G181=""),"",_xlfn.XLOOKUP($G181,Labor_Rates!$A$3:$A$7,Labor_Rates!$B$3:$B$7,""))</f>
        <v/>
      </c>
      <c r="E181" s="23" t="str">
        <f t="shared" si="1"/>
        <v/>
      </c>
      <c r="G181" s="23"/>
    </row>
    <row r="182" ht="15.75" customHeight="1">
      <c r="A182" s="23"/>
      <c r="D182" s="23" t="str">
        <f t="array" ref="D182">IF(OR($A182="",$G182=""),"",_xlfn.XLOOKUP($G182,Labor_Rates!$A$3:$A$7,Labor_Rates!$B$3:$B$7,""))</f>
        <v/>
      </c>
      <c r="E182" s="23" t="str">
        <f t="shared" si="1"/>
        <v/>
      </c>
      <c r="G182" s="23"/>
    </row>
    <row r="183" ht="15.75" customHeight="1">
      <c r="A183" s="23"/>
      <c r="D183" s="23" t="str">
        <f t="array" ref="D183">IF(OR($A183="",$G183=""),"",_xlfn.XLOOKUP($G183,Labor_Rates!$A$3:$A$7,Labor_Rates!$B$3:$B$7,""))</f>
        <v/>
      </c>
      <c r="E183" s="23" t="str">
        <f t="shared" si="1"/>
        <v/>
      </c>
      <c r="G183" s="23"/>
    </row>
    <row r="184" ht="15.75" customHeight="1">
      <c r="A184" s="23"/>
      <c r="D184" s="23" t="str">
        <f t="array" ref="D184">IF(OR($A184="",$G184=""),"",_xlfn.XLOOKUP($G184,Labor_Rates!$A$3:$A$7,Labor_Rates!$B$3:$B$7,""))</f>
        <v/>
      </c>
      <c r="E184" s="23" t="str">
        <f t="shared" si="1"/>
        <v/>
      </c>
      <c r="G184" s="23"/>
    </row>
    <row r="185" ht="15.75" customHeight="1">
      <c r="A185" s="23"/>
      <c r="D185" s="23" t="str">
        <f t="array" ref="D185">IF(OR($A185="",$G185=""),"",_xlfn.XLOOKUP($G185,Labor_Rates!$A$3:$A$7,Labor_Rates!$B$3:$B$7,""))</f>
        <v/>
      </c>
      <c r="E185" s="23" t="str">
        <f t="shared" si="1"/>
        <v/>
      </c>
      <c r="G185" s="23"/>
    </row>
    <row r="186" ht="15.75" customHeight="1">
      <c r="A186" s="23"/>
      <c r="D186" s="23" t="str">
        <f t="array" ref="D186">IF(OR($A186="",$G186=""),"",_xlfn.XLOOKUP($G186,Labor_Rates!$A$3:$A$7,Labor_Rates!$B$3:$B$7,""))</f>
        <v/>
      </c>
      <c r="E186" s="23" t="str">
        <f t="shared" si="1"/>
        <v/>
      </c>
      <c r="G186" s="23"/>
    </row>
    <row r="187" ht="15.75" customHeight="1">
      <c r="A187" s="23"/>
      <c r="D187" s="23" t="str">
        <f t="array" ref="D187">IF(OR($A187="",$G187=""),"",_xlfn.XLOOKUP($G187,Labor_Rates!$A$3:$A$7,Labor_Rates!$B$3:$B$7,""))</f>
        <v/>
      </c>
      <c r="E187" s="23" t="str">
        <f t="shared" si="1"/>
        <v/>
      </c>
      <c r="G187" s="23"/>
    </row>
    <row r="188" ht="15.75" customHeight="1">
      <c r="A188" s="23"/>
      <c r="D188" s="23" t="str">
        <f t="array" ref="D188">IF(OR($A188="",$G188=""),"",_xlfn.XLOOKUP($G188,Labor_Rates!$A$3:$A$7,Labor_Rates!$B$3:$B$7,""))</f>
        <v/>
      </c>
      <c r="E188" s="23" t="str">
        <f t="shared" si="1"/>
        <v/>
      </c>
      <c r="G188" s="23"/>
    </row>
    <row r="189" ht="15.75" customHeight="1">
      <c r="A189" s="23"/>
      <c r="D189" s="23" t="str">
        <f t="array" ref="D189">IF(OR($A189="",$G189=""),"",_xlfn.XLOOKUP($G189,Labor_Rates!$A$3:$A$7,Labor_Rates!$B$3:$B$7,""))</f>
        <v/>
      </c>
      <c r="E189" s="23" t="str">
        <f t="shared" si="1"/>
        <v/>
      </c>
      <c r="G189" s="23"/>
    </row>
    <row r="190" ht="15.75" customHeight="1">
      <c r="A190" s="23"/>
      <c r="D190" s="23" t="str">
        <f t="array" ref="D190">IF(OR($A190="",$G190=""),"",_xlfn.XLOOKUP($G190,Labor_Rates!$A$3:$A$7,Labor_Rates!$B$3:$B$7,""))</f>
        <v/>
      </c>
      <c r="E190" s="23" t="str">
        <f t="shared" si="1"/>
        <v/>
      </c>
      <c r="G190" s="23"/>
    </row>
    <row r="191" ht="15.75" customHeight="1">
      <c r="A191" s="23"/>
      <c r="D191" s="23" t="str">
        <f t="array" ref="D191">IF(OR($A191="",$G191=""),"",_xlfn.XLOOKUP($G191,Labor_Rates!$A$3:$A$7,Labor_Rates!$B$3:$B$7,""))</f>
        <v/>
      </c>
      <c r="E191" s="23" t="str">
        <f t="shared" si="1"/>
        <v/>
      </c>
      <c r="G191" s="23"/>
    </row>
    <row r="192" ht="15.75" customHeight="1">
      <c r="A192" s="23"/>
      <c r="D192" s="23" t="str">
        <f t="array" ref="D192">IF(OR($A192="",$G192=""),"",_xlfn.XLOOKUP($G192,Labor_Rates!$A$3:$A$7,Labor_Rates!$B$3:$B$7,""))</f>
        <v/>
      </c>
      <c r="E192" s="23" t="str">
        <f t="shared" si="1"/>
        <v/>
      </c>
      <c r="G192" s="23"/>
    </row>
    <row r="193" ht="15.75" customHeight="1">
      <c r="A193" s="23"/>
      <c r="D193" s="23" t="str">
        <f t="array" ref="D193">IF(OR($A193="",$G193=""),"",_xlfn.XLOOKUP($G193,Labor_Rates!$A$3:$A$7,Labor_Rates!$B$3:$B$7,""))</f>
        <v/>
      </c>
      <c r="E193" s="23" t="str">
        <f t="shared" si="1"/>
        <v/>
      </c>
      <c r="G193" s="23"/>
    </row>
    <row r="194" ht="15.75" customHeight="1">
      <c r="A194" s="23"/>
      <c r="D194" s="23" t="str">
        <f t="array" ref="D194">IF(OR($A194="",$G194=""),"",_xlfn.XLOOKUP($G194,Labor_Rates!$A$3:$A$7,Labor_Rates!$B$3:$B$7,""))</f>
        <v/>
      </c>
      <c r="E194" s="23" t="str">
        <f t="shared" si="1"/>
        <v/>
      </c>
      <c r="G194" s="23"/>
    </row>
    <row r="195" ht="15.75" customHeight="1">
      <c r="A195" s="23"/>
      <c r="D195" s="23" t="str">
        <f t="array" ref="D195">IF(OR($A195="",$G195=""),"",_xlfn.XLOOKUP($G195,Labor_Rates!$A$3:$A$7,Labor_Rates!$B$3:$B$7,""))</f>
        <v/>
      </c>
      <c r="E195" s="23" t="str">
        <f t="shared" si="1"/>
        <v/>
      </c>
      <c r="G195" s="23"/>
    </row>
    <row r="196" ht="15.75" customHeight="1">
      <c r="A196" s="23"/>
      <c r="D196" s="23" t="str">
        <f t="array" ref="D196">IF(OR($A196="",$G196=""),"",_xlfn.XLOOKUP($G196,Labor_Rates!$A$3:$A$7,Labor_Rates!$B$3:$B$7,""))</f>
        <v/>
      </c>
      <c r="E196" s="23" t="str">
        <f t="shared" si="1"/>
        <v/>
      </c>
      <c r="G196" s="23"/>
    </row>
    <row r="197" ht="15.75" customHeight="1">
      <c r="A197" s="23"/>
      <c r="D197" s="23" t="str">
        <f t="array" ref="D197">IF(OR($A197="",$G197=""),"",_xlfn.XLOOKUP($G197,Labor_Rates!$A$3:$A$7,Labor_Rates!$B$3:$B$7,""))</f>
        <v/>
      </c>
      <c r="E197" s="23" t="str">
        <f t="shared" si="1"/>
        <v/>
      </c>
      <c r="G197" s="23"/>
    </row>
    <row r="198" ht="15.75" customHeight="1">
      <c r="A198" s="23"/>
      <c r="D198" s="23" t="str">
        <f t="array" ref="D198">IF(OR($A198="",$G198=""),"",_xlfn.XLOOKUP($G198,Labor_Rates!$A$3:$A$7,Labor_Rates!$B$3:$B$7,""))</f>
        <v/>
      </c>
      <c r="E198" s="23" t="str">
        <f t="shared" si="1"/>
        <v/>
      </c>
      <c r="G198" s="23"/>
    </row>
    <row r="199" ht="15.75" customHeight="1">
      <c r="A199" s="23"/>
      <c r="D199" s="23" t="str">
        <f t="array" ref="D199">IF(OR($A199="",$G199=""),"",_xlfn.XLOOKUP($G199,Labor_Rates!$A$3:$A$7,Labor_Rates!$B$3:$B$7,""))</f>
        <v/>
      </c>
      <c r="E199" s="23" t="str">
        <f t="shared" si="1"/>
        <v/>
      </c>
      <c r="G199" s="23"/>
    </row>
    <row r="200" ht="15.75" customHeight="1">
      <c r="A200" s="23"/>
      <c r="D200" s="23" t="str">
        <f t="array" ref="D200">IF(OR($A200="",$G200=""),"",_xlfn.XLOOKUP($G200,Labor_Rates!$A$3:$A$7,Labor_Rates!$B$3:$B$7,""))</f>
        <v/>
      </c>
      <c r="E200" s="23" t="str">
        <f t="shared" si="1"/>
        <v/>
      </c>
      <c r="G200" s="23"/>
    </row>
    <row r="201" ht="15.75" customHeight="1">
      <c r="A201" s="23"/>
      <c r="D201" s="23" t="str">
        <f t="array" ref="D201">IF(OR($A201="",$G201=""),"",_xlfn.XLOOKUP($G201,Labor_Rates!$A$3:$A$7,Labor_Rates!$B$3:$B$7,""))</f>
        <v/>
      </c>
      <c r="E201" s="23" t="str">
        <f t="shared" si="1"/>
        <v/>
      </c>
      <c r="G201" s="23"/>
    </row>
    <row r="202" ht="15.75" customHeight="1">
      <c r="A202" s="23"/>
      <c r="D202" s="23" t="str">
        <f t="array" ref="D202">IF(OR($A202="",$G202=""),"",_xlfn.XLOOKUP($G202,Labor_Rates!$A$3:$A$7,Labor_Rates!$B$3:$B$7,""))</f>
        <v/>
      </c>
      <c r="E202" s="23" t="str">
        <f t="shared" si="1"/>
        <v/>
      </c>
      <c r="G202" s="23"/>
    </row>
    <row r="203" ht="15.75" customHeight="1">
      <c r="A203" s="23"/>
      <c r="D203" s="23" t="str">
        <f t="array" ref="D203">IF(OR($A203="",$G203=""),"",_xlfn.XLOOKUP($G203,Labor_Rates!$A$3:$A$7,Labor_Rates!$B$3:$B$7,""))</f>
        <v/>
      </c>
      <c r="E203" s="23" t="str">
        <f t="shared" si="1"/>
        <v/>
      </c>
      <c r="G203" s="23"/>
    </row>
    <row r="204" ht="15.75" customHeight="1">
      <c r="A204" s="23"/>
      <c r="D204" s="23" t="str">
        <f t="array" ref="D204">IF(OR($A204="",$G204=""),"",_xlfn.XLOOKUP($G204,Labor_Rates!$A$3:$A$7,Labor_Rates!$B$3:$B$7,""))</f>
        <v/>
      </c>
      <c r="E204" s="23" t="str">
        <f t="shared" si="1"/>
        <v/>
      </c>
      <c r="G204" s="23"/>
    </row>
    <row r="205" ht="15.75" customHeight="1">
      <c r="A205" s="23"/>
      <c r="D205" s="23" t="str">
        <f t="array" ref="D205">IF(OR($A205="",$G205=""),"",_xlfn.XLOOKUP($G205,Labor_Rates!$A$3:$A$7,Labor_Rates!$B$3:$B$7,""))</f>
        <v/>
      </c>
      <c r="E205" s="23" t="str">
        <f t="shared" si="1"/>
        <v/>
      </c>
      <c r="G205" s="23"/>
    </row>
    <row r="206" ht="15.75" customHeight="1">
      <c r="A206" s="23"/>
      <c r="D206" s="23" t="str">
        <f t="array" ref="D206">IF(OR($A206="",$G206=""),"",_xlfn.XLOOKUP($G206,Labor_Rates!$A$3:$A$7,Labor_Rates!$B$3:$B$7,""))</f>
        <v/>
      </c>
      <c r="E206" s="23" t="str">
        <f t="shared" si="1"/>
        <v/>
      </c>
      <c r="G206" s="23"/>
    </row>
    <row r="207" ht="15.75" customHeight="1">
      <c r="A207" s="23"/>
      <c r="D207" s="23" t="str">
        <f t="array" ref="D207">IF(OR($A207="",$G207=""),"",_xlfn.XLOOKUP($G207,Labor_Rates!$A$3:$A$7,Labor_Rates!$B$3:$B$7,""))</f>
        <v/>
      </c>
      <c r="E207" s="23" t="str">
        <f t="shared" si="1"/>
        <v/>
      </c>
      <c r="G207" s="23"/>
    </row>
    <row r="208" ht="15.75" customHeight="1">
      <c r="A208" s="23"/>
      <c r="D208" s="23" t="str">
        <f t="array" ref="D208">IF(OR($A208="",$G208=""),"",_xlfn.XLOOKUP($G208,Labor_Rates!$A$3:$A$7,Labor_Rates!$B$3:$B$7,""))</f>
        <v/>
      </c>
      <c r="E208" s="23" t="str">
        <f t="shared" si="1"/>
        <v/>
      </c>
      <c r="G208" s="23"/>
    </row>
    <row r="209" ht="15.75" customHeight="1">
      <c r="A209" s="23"/>
      <c r="D209" s="23" t="str">
        <f t="array" ref="D209">IF(OR($A209="",$G209=""),"",_xlfn.XLOOKUP($G209,Labor_Rates!$A$3:$A$7,Labor_Rates!$B$3:$B$7,""))</f>
        <v/>
      </c>
      <c r="E209" s="23" t="str">
        <f t="shared" si="1"/>
        <v/>
      </c>
      <c r="G209" s="23"/>
    </row>
    <row r="210" ht="15.75" customHeight="1">
      <c r="A210" s="23"/>
      <c r="D210" s="23" t="str">
        <f t="array" ref="D210">IF(OR($A210="",$G210=""),"",_xlfn.XLOOKUP($G210,Labor_Rates!$A$3:$A$7,Labor_Rates!$B$3:$B$7,""))</f>
        <v/>
      </c>
      <c r="E210" s="23" t="str">
        <f t="shared" si="1"/>
        <v/>
      </c>
      <c r="G210" s="23"/>
    </row>
    <row r="211" ht="15.75" customHeight="1">
      <c r="A211" s="23"/>
      <c r="D211" s="23" t="str">
        <f t="array" ref="D211">IF(OR($A211="",$G211=""),"",_xlfn.XLOOKUP($G211,Labor_Rates!$A$3:$A$7,Labor_Rates!$B$3:$B$7,""))</f>
        <v/>
      </c>
      <c r="E211" s="23" t="str">
        <f t="shared" si="1"/>
        <v/>
      </c>
      <c r="G211" s="23"/>
    </row>
    <row r="212" ht="15.75" customHeight="1">
      <c r="A212" s="23"/>
      <c r="D212" s="23" t="str">
        <f t="array" ref="D212">IF(OR($A212="",$G212=""),"",_xlfn.XLOOKUP($G212,Labor_Rates!$A$3:$A$7,Labor_Rates!$B$3:$B$7,""))</f>
        <v/>
      </c>
      <c r="E212" s="23" t="str">
        <f t="shared" si="1"/>
        <v/>
      </c>
      <c r="G212" s="23"/>
    </row>
    <row r="213" ht="15.75" customHeight="1">
      <c r="A213" s="23"/>
      <c r="D213" s="23" t="str">
        <f t="array" ref="D213">IF(OR($A213="",$G213=""),"",_xlfn.XLOOKUP($G213,Labor_Rates!$A$3:$A$7,Labor_Rates!$B$3:$B$7,""))</f>
        <v/>
      </c>
      <c r="E213" s="23" t="str">
        <f t="shared" si="1"/>
        <v/>
      </c>
      <c r="G213" s="23"/>
    </row>
    <row r="214" ht="15.75" customHeight="1">
      <c r="A214" s="23"/>
      <c r="D214" s="23" t="str">
        <f t="array" ref="D214">IF(OR($A214="",$G214=""),"",_xlfn.XLOOKUP($G214,Labor_Rates!$A$3:$A$7,Labor_Rates!$B$3:$B$7,""))</f>
        <v/>
      </c>
      <c r="E214" s="23" t="str">
        <f t="shared" si="1"/>
        <v/>
      </c>
      <c r="G214" s="23"/>
    </row>
    <row r="215" ht="15.75" customHeight="1">
      <c r="A215" s="23"/>
      <c r="D215" s="23" t="str">
        <f t="array" ref="D215">IF(OR($A215="",$G215=""),"",_xlfn.XLOOKUP($G215,Labor_Rates!$A$3:$A$7,Labor_Rates!$B$3:$B$7,""))</f>
        <v/>
      </c>
      <c r="E215" s="23" t="str">
        <f t="shared" si="1"/>
        <v/>
      </c>
      <c r="G215" s="23"/>
    </row>
    <row r="216" ht="15.75" customHeight="1">
      <c r="A216" s="23"/>
      <c r="D216" s="23" t="str">
        <f t="array" ref="D216">IF(OR($A216="",$G216=""),"",_xlfn.XLOOKUP($G216,Labor_Rates!$A$3:$A$7,Labor_Rates!$B$3:$B$7,""))</f>
        <v/>
      </c>
      <c r="E216" s="23" t="str">
        <f t="shared" si="1"/>
        <v/>
      </c>
      <c r="G216" s="23"/>
    </row>
    <row r="217" ht="15.75" customHeight="1">
      <c r="A217" s="23"/>
      <c r="D217" s="23" t="str">
        <f t="array" ref="D217">IF(OR($A217="",$G217=""),"",_xlfn.XLOOKUP($G217,Labor_Rates!$A$3:$A$7,Labor_Rates!$B$3:$B$7,""))</f>
        <v/>
      </c>
      <c r="E217" s="23" t="str">
        <f t="shared" si="1"/>
        <v/>
      </c>
      <c r="G217" s="23"/>
    </row>
    <row r="218" ht="15.75" customHeight="1">
      <c r="A218" s="23"/>
      <c r="D218" s="23" t="str">
        <f t="array" ref="D218">IF(OR($A218="",$G218=""),"",_xlfn.XLOOKUP($G218,Labor_Rates!$A$3:$A$7,Labor_Rates!$B$3:$B$7,""))</f>
        <v/>
      </c>
      <c r="E218" s="23" t="str">
        <f t="shared" si="1"/>
        <v/>
      </c>
      <c r="G218" s="23"/>
    </row>
    <row r="219" ht="15.75" customHeight="1">
      <c r="A219" s="23"/>
      <c r="D219" s="23" t="str">
        <f t="array" ref="D219">IF(OR($A219="",$G219=""),"",_xlfn.XLOOKUP($G219,Labor_Rates!$A$3:$A$7,Labor_Rates!$B$3:$B$7,""))</f>
        <v/>
      </c>
      <c r="E219" s="23" t="str">
        <f t="shared" si="1"/>
        <v/>
      </c>
      <c r="G219" s="23"/>
    </row>
    <row r="220" ht="15.75" customHeight="1">
      <c r="A220" s="23"/>
      <c r="D220" s="23" t="str">
        <f t="array" ref="D220">IF(OR($A220="",$G220=""),"",_xlfn.XLOOKUP($G220,Labor_Rates!$A$3:$A$7,Labor_Rates!$B$3:$B$7,""))</f>
        <v/>
      </c>
      <c r="E220" s="23" t="str">
        <f t="shared" si="1"/>
        <v/>
      </c>
      <c r="G220" s="23"/>
    </row>
    <row r="221" ht="15.75" customHeight="1">
      <c r="A221" s="23"/>
      <c r="D221" s="23" t="str">
        <f t="array" ref="D221">IF(OR($A221="",$G221=""),"",_xlfn.XLOOKUP($G221,Labor_Rates!$A$3:$A$7,Labor_Rates!$B$3:$B$7,""))</f>
        <v/>
      </c>
      <c r="E221" s="23" t="str">
        <f t="shared" si="1"/>
        <v/>
      </c>
      <c r="G221" s="23"/>
    </row>
    <row r="222" ht="15.75" customHeight="1">
      <c r="A222" s="23"/>
      <c r="D222" s="23" t="str">
        <f t="array" ref="D222">IF(OR($A222="",$G222=""),"",_xlfn.XLOOKUP($G222,Labor_Rates!$A$3:$A$7,Labor_Rates!$B$3:$B$7,""))</f>
        <v/>
      </c>
      <c r="E222" s="23" t="str">
        <f t="shared" si="1"/>
        <v/>
      </c>
      <c r="G222" s="23"/>
    </row>
    <row r="223" ht="15.75" customHeight="1">
      <c r="A223" s="23"/>
      <c r="D223" s="23" t="str">
        <f t="array" ref="D223">IF(OR($A223="",$G223=""),"",_xlfn.XLOOKUP($G223,Labor_Rates!$A$3:$A$7,Labor_Rates!$B$3:$B$7,""))</f>
        <v/>
      </c>
      <c r="E223" s="23" t="str">
        <f t="shared" si="1"/>
        <v/>
      </c>
      <c r="G223" s="23"/>
    </row>
    <row r="224" ht="15.75" customHeight="1">
      <c r="A224" s="23"/>
      <c r="D224" s="23" t="str">
        <f t="array" ref="D224">IF(OR($A224="",$G224=""),"",_xlfn.XLOOKUP($G224,Labor_Rates!$A$3:$A$7,Labor_Rates!$B$3:$B$7,""))</f>
        <v/>
      </c>
      <c r="E224" s="23" t="str">
        <f t="shared" si="1"/>
        <v/>
      </c>
      <c r="G224" s="23"/>
    </row>
    <row r="225" ht="15.75" customHeight="1">
      <c r="A225" s="23"/>
      <c r="D225" s="23" t="str">
        <f t="array" ref="D225">IF(OR($A225="",$G225=""),"",_xlfn.XLOOKUP($G225,Labor_Rates!$A$3:$A$7,Labor_Rates!$B$3:$B$7,""))</f>
        <v/>
      </c>
      <c r="E225" s="23" t="str">
        <f t="shared" si="1"/>
        <v/>
      </c>
      <c r="G225" s="23"/>
    </row>
    <row r="226" ht="15.75" customHeight="1">
      <c r="A226" s="23"/>
      <c r="D226" s="23" t="str">
        <f t="array" ref="D226">IF(OR($A226="",$G226=""),"",_xlfn.XLOOKUP($G226,Labor_Rates!$A$3:$A$7,Labor_Rates!$B$3:$B$7,""))</f>
        <v/>
      </c>
      <c r="E226" s="23" t="str">
        <f t="shared" si="1"/>
        <v/>
      </c>
      <c r="G226" s="23"/>
    </row>
    <row r="227" ht="15.75" customHeight="1">
      <c r="A227" s="23"/>
      <c r="D227" s="23" t="str">
        <f t="array" ref="D227">IF(OR($A227="",$G227=""),"",_xlfn.XLOOKUP($G227,Labor_Rates!$A$3:$A$7,Labor_Rates!$B$3:$B$7,""))</f>
        <v/>
      </c>
      <c r="E227" s="23" t="str">
        <f t="shared" si="1"/>
        <v/>
      </c>
      <c r="G227" s="23"/>
    </row>
    <row r="228" ht="15.75" customHeight="1">
      <c r="A228" s="23"/>
      <c r="D228" s="23" t="str">
        <f t="array" ref="D228">IF(OR($A228="",$G228=""),"",_xlfn.XLOOKUP($G228,Labor_Rates!$A$3:$A$7,Labor_Rates!$B$3:$B$7,""))</f>
        <v/>
      </c>
      <c r="E228" s="23" t="str">
        <f t="shared" si="1"/>
        <v/>
      </c>
      <c r="G228" s="23"/>
    </row>
    <row r="229" ht="15.75" customHeight="1">
      <c r="A229" s="23"/>
      <c r="D229" s="23" t="str">
        <f t="array" ref="D229">IF(OR($A229="",$G229=""),"",_xlfn.XLOOKUP($G229,Labor_Rates!$A$3:$A$7,Labor_Rates!$B$3:$B$7,""))</f>
        <v/>
      </c>
      <c r="E229" s="23" t="str">
        <f t="shared" si="1"/>
        <v/>
      </c>
      <c r="G229" s="23"/>
    </row>
    <row r="230" ht="15.75" customHeight="1">
      <c r="A230" s="23"/>
      <c r="D230" s="23" t="str">
        <f t="array" ref="D230">IF(OR($A230="",$G230=""),"",_xlfn.XLOOKUP($G230,Labor_Rates!$A$3:$A$7,Labor_Rates!$B$3:$B$7,""))</f>
        <v/>
      </c>
      <c r="E230" s="23" t="str">
        <f t="shared" si="1"/>
        <v/>
      </c>
      <c r="G230" s="23"/>
    </row>
    <row r="231" ht="15.75" customHeight="1">
      <c r="A231" s="23"/>
      <c r="D231" s="23" t="str">
        <f t="array" ref="D231">IF(OR($A231="",$G231=""),"",_xlfn.XLOOKUP($G231,Labor_Rates!$A$3:$A$7,Labor_Rates!$B$3:$B$7,""))</f>
        <v/>
      </c>
      <c r="E231" s="23" t="str">
        <f t="shared" si="1"/>
        <v/>
      </c>
      <c r="G231" s="23"/>
    </row>
    <row r="232" ht="15.75" customHeight="1">
      <c r="A232" s="23"/>
      <c r="D232" s="23" t="str">
        <f t="array" ref="D232">IF(OR($A232="",$G232=""),"",_xlfn.XLOOKUP($G232,Labor_Rates!$A$3:$A$7,Labor_Rates!$B$3:$B$7,""))</f>
        <v/>
      </c>
      <c r="E232" s="23" t="str">
        <f t="shared" si="1"/>
        <v/>
      </c>
      <c r="G232" s="23"/>
    </row>
    <row r="233" ht="15.75" customHeight="1">
      <c r="A233" s="23"/>
      <c r="D233" s="23" t="str">
        <f t="array" ref="D233">IF(OR($A233="",$G233=""),"",_xlfn.XLOOKUP($G233,Labor_Rates!$A$3:$A$7,Labor_Rates!$B$3:$B$7,""))</f>
        <v/>
      </c>
      <c r="E233" s="23" t="str">
        <f t="shared" si="1"/>
        <v/>
      </c>
      <c r="G233" s="23"/>
    </row>
    <row r="234" ht="15.75" customHeight="1">
      <c r="A234" s="23"/>
      <c r="D234" s="23" t="str">
        <f t="array" ref="D234">IF(OR($A234="",$G234=""),"",_xlfn.XLOOKUP($G234,Labor_Rates!$A$3:$A$7,Labor_Rates!$B$3:$B$7,""))</f>
        <v/>
      </c>
      <c r="E234" s="23" t="str">
        <f t="shared" si="1"/>
        <v/>
      </c>
      <c r="G234" s="23"/>
    </row>
    <row r="235" ht="15.75" customHeight="1">
      <c r="A235" s="23"/>
      <c r="D235" s="23" t="str">
        <f t="array" ref="D235">IF(OR($A235="",$G235=""),"",_xlfn.XLOOKUP($G235,Labor_Rates!$A$3:$A$7,Labor_Rates!$B$3:$B$7,""))</f>
        <v/>
      </c>
      <c r="E235" s="23" t="str">
        <f t="shared" si="1"/>
        <v/>
      </c>
      <c r="G235" s="23"/>
    </row>
    <row r="236" ht="15.75" customHeight="1">
      <c r="A236" s="23"/>
      <c r="D236" s="23" t="str">
        <f t="array" ref="D236">IF(OR($A236="",$G236=""),"",_xlfn.XLOOKUP($G236,Labor_Rates!$A$3:$A$7,Labor_Rates!$B$3:$B$7,""))</f>
        <v/>
      </c>
      <c r="E236" s="23" t="str">
        <f t="shared" si="1"/>
        <v/>
      </c>
      <c r="G236" s="23"/>
    </row>
    <row r="237" ht="15.75" customHeight="1">
      <c r="A237" s="23"/>
      <c r="D237" s="23" t="str">
        <f t="array" ref="D237">IF(OR($A237="",$G237=""),"",_xlfn.XLOOKUP($G237,Labor_Rates!$A$3:$A$7,Labor_Rates!$B$3:$B$7,""))</f>
        <v/>
      </c>
      <c r="E237" s="23" t="str">
        <f t="shared" si="1"/>
        <v/>
      </c>
      <c r="G237" s="23"/>
    </row>
    <row r="238" ht="15.75" customHeight="1">
      <c r="A238" s="23"/>
      <c r="D238" s="23" t="str">
        <f t="array" ref="D238">IF(OR($A238="",$G238=""),"",_xlfn.XLOOKUP($G238,Labor_Rates!$A$3:$A$7,Labor_Rates!$B$3:$B$7,""))</f>
        <v/>
      </c>
      <c r="E238" s="23" t="str">
        <f t="shared" si="1"/>
        <v/>
      </c>
      <c r="G238" s="23"/>
    </row>
    <row r="239" ht="15.75" customHeight="1">
      <c r="A239" s="23"/>
      <c r="D239" s="23" t="str">
        <f t="array" ref="D239">IF(OR($A239="",$G239=""),"",_xlfn.XLOOKUP($G239,Labor_Rates!$A$3:$A$7,Labor_Rates!$B$3:$B$7,""))</f>
        <v/>
      </c>
      <c r="E239" s="23" t="str">
        <f t="shared" si="1"/>
        <v/>
      </c>
      <c r="G239" s="23"/>
    </row>
    <row r="240" ht="15.75" customHeight="1">
      <c r="A240" s="23"/>
      <c r="D240" s="23" t="str">
        <f t="array" ref="D240">IF(OR($A240="",$G240=""),"",_xlfn.XLOOKUP($G240,Labor_Rates!$A$3:$A$7,Labor_Rates!$B$3:$B$7,""))</f>
        <v/>
      </c>
      <c r="E240" s="23" t="str">
        <f t="shared" si="1"/>
        <v/>
      </c>
      <c r="G240" s="23"/>
    </row>
    <row r="241" ht="15.75" customHeight="1">
      <c r="A241" s="23"/>
      <c r="D241" s="23" t="str">
        <f t="array" ref="D241">IF(OR($A241="",$G241=""),"",_xlfn.XLOOKUP($G241,Labor_Rates!$A$3:$A$7,Labor_Rates!$B$3:$B$7,""))</f>
        <v/>
      </c>
      <c r="E241" s="23" t="str">
        <f t="shared" si="1"/>
        <v/>
      </c>
      <c r="G241" s="23"/>
    </row>
    <row r="242" ht="15.75" customHeight="1">
      <c r="A242" s="23"/>
      <c r="D242" s="23" t="str">
        <f t="array" ref="D242">IF(OR($A242="",$G242=""),"",_xlfn.XLOOKUP($G242,Labor_Rates!$A$3:$A$7,Labor_Rates!$B$3:$B$7,""))</f>
        <v/>
      </c>
      <c r="E242" s="23" t="str">
        <f t="shared" si="1"/>
        <v/>
      </c>
      <c r="G242" s="23"/>
    </row>
    <row r="243" ht="15.75" customHeight="1">
      <c r="A243" s="23"/>
      <c r="D243" s="23" t="str">
        <f t="array" ref="D243">IF(OR($A243="",$G243=""),"",_xlfn.XLOOKUP($G243,Labor_Rates!$A$3:$A$7,Labor_Rates!$B$3:$B$7,""))</f>
        <v/>
      </c>
      <c r="E243" s="23" t="str">
        <f t="shared" si="1"/>
        <v/>
      </c>
      <c r="G243" s="23"/>
    </row>
    <row r="244" ht="15.75" customHeight="1">
      <c r="A244" s="23"/>
      <c r="D244" s="23" t="str">
        <f t="array" ref="D244">IF(OR($A244="",$G244=""),"",_xlfn.XLOOKUP($G244,Labor_Rates!$A$3:$A$7,Labor_Rates!$B$3:$B$7,""))</f>
        <v/>
      </c>
      <c r="E244" s="23" t="str">
        <f t="shared" si="1"/>
        <v/>
      </c>
      <c r="G244" s="23"/>
    </row>
    <row r="245" ht="15.75" customHeight="1">
      <c r="A245" s="23"/>
      <c r="D245" s="23" t="str">
        <f t="array" ref="D245">IF(OR($A245="",$G245=""),"",_xlfn.XLOOKUP($G245,Labor_Rates!$A$3:$A$7,Labor_Rates!$B$3:$B$7,""))</f>
        <v/>
      </c>
      <c r="E245" s="23" t="str">
        <f t="shared" si="1"/>
        <v/>
      </c>
      <c r="G245" s="23"/>
    </row>
    <row r="246" ht="15.75" customHeight="1">
      <c r="A246" s="23"/>
      <c r="D246" s="23" t="str">
        <f t="array" ref="D246">IF(OR($A246="",$G246=""),"",_xlfn.XLOOKUP($G246,Labor_Rates!$A$3:$A$7,Labor_Rates!$B$3:$B$7,""))</f>
        <v/>
      </c>
      <c r="E246" s="23" t="str">
        <f t="shared" si="1"/>
        <v/>
      </c>
      <c r="G246" s="23"/>
    </row>
    <row r="247" ht="15.75" customHeight="1">
      <c r="A247" s="23"/>
      <c r="D247" s="23" t="str">
        <f t="array" ref="D247">IF(OR($A247="",$G247=""),"",_xlfn.XLOOKUP($G247,Labor_Rates!$A$3:$A$7,Labor_Rates!$B$3:$B$7,""))</f>
        <v/>
      </c>
      <c r="E247" s="23" t="str">
        <f t="shared" si="1"/>
        <v/>
      </c>
      <c r="G247" s="23"/>
    </row>
    <row r="248" ht="15.75" customHeight="1">
      <c r="A248" s="23"/>
      <c r="D248" s="23" t="str">
        <f t="array" ref="D248">IF(OR($A248="",$G248=""),"",_xlfn.XLOOKUP($G248,Labor_Rates!$A$3:$A$7,Labor_Rates!$B$3:$B$7,""))</f>
        <v/>
      </c>
      <c r="E248" s="23" t="str">
        <f t="shared" si="1"/>
        <v/>
      </c>
      <c r="G248" s="23"/>
    </row>
    <row r="249" ht="15.75" customHeight="1">
      <c r="A249" s="23"/>
      <c r="D249" s="23" t="str">
        <f t="array" ref="D249">IF(OR($A249="",$G249=""),"",_xlfn.XLOOKUP($G249,Labor_Rates!$A$3:$A$7,Labor_Rates!$B$3:$B$7,""))</f>
        <v/>
      </c>
      <c r="E249" s="23" t="str">
        <f t="shared" si="1"/>
        <v/>
      </c>
      <c r="G249" s="23"/>
    </row>
    <row r="250" ht="15.75" customHeight="1">
      <c r="A250" s="23"/>
      <c r="D250" s="23" t="str">
        <f t="array" ref="D250">IF(OR($A250="",$G250=""),"",_xlfn.XLOOKUP($G250,Labor_Rates!$A$3:$A$7,Labor_Rates!$B$3:$B$7,""))</f>
        <v/>
      </c>
      <c r="E250" s="23" t="str">
        <f t="shared" si="1"/>
        <v/>
      </c>
      <c r="G250" s="23"/>
    </row>
    <row r="251" ht="15.75" customHeight="1">
      <c r="A251" s="23"/>
      <c r="D251" s="23" t="str">
        <f t="array" ref="D251">IF(OR($A251="",$G251=""),"",_xlfn.XLOOKUP($G251,Labor_Rates!$A$3:$A$7,Labor_Rates!$B$3:$B$7,""))</f>
        <v/>
      </c>
      <c r="E251" s="23" t="str">
        <f t="shared" si="1"/>
        <v/>
      </c>
      <c r="G251" s="23"/>
    </row>
    <row r="252" ht="15.75" customHeight="1">
      <c r="A252" s="23"/>
      <c r="D252" s="23" t="str">
        <f t="array" ref="D252">IF(OR($A252="",$G252=""),"",_xlfn.XLOOKUP($G252,Labor_Rates!$A$3:$A$7,Labor_Rates!$B$3:$B$7,""))</f>
        <v/>
      </c>
      <c r="E252" s="23" t="str">
        <f t="shared" si="1"/>
        <v/>
      </c>
      <c r="G252" s="23"/>
    </row>
    <row r="253" ht="15.75" customHeight="1">
      <c r="A253" s="23"/>
      <c r="D253" s="23" t="str">
        <f t="array" ref="D253">IF(OR($A253="",$G253=""),"",_xlfn.XLOOKUP($G253,Labor_Rates!$A$3:$A$7,Labor_Rates!$B$3:$B$7,""))</f>
        <v/>
      </c>
      <c r="E253" s="23" t="str">
        <f t="shared" si="1"/>
        <v/>
      </c>
      <c r="G253" s="23"/>
    </row>
    <row r="254" ht="15.75" customHeight="1">
      <c r="A254" s="23"/>
      <c r="D254" s="23" t="str">
        <f t="array" ref="D254">IF(OR($A254="",$G254=""),"",_xlfn.XLOOKUP($G254,Labor_Rates!$A$3:$A$7,Labor_Rates!$B$3:$B$7,""))</f>
        <v/>
      </c>
      <c r="E254" s="23" t="str">
        <f t="shared" si="1"/>
        <v/>
      </c>
      <c r="G254" s="23"/>
    </row>
    <row r="255" ht="15.75" customHeight="1">
      <c r="A255" s="23"/>
      <c r="D255" s="23" t="str">
        <f t="array" ref="D255">IF(OR($A255="",$G255=""),"",_xlfn.XLOOKUP($G255,Labor_Rates!$A$3:$A$7,Labor_Rates!$B$3:$B$7,""))</f>
        <v/>
      </c>
      <c r="E255" s="23" t="str">
        <f t="shared" si="1"/>
        <v/>
      </c>
      <c r="G255" s="23"/>
    </row>
    <row r="256" ht="15.75" customHeight="1">
      <c r="A256" s="23"/>
      <c r="D256" s="23" t="str">
        <f t="array" ref="D256">IF(OR($A256="",$G256=""),"",_xlfn.XLOOKUP($G256,Labor_Rates!$A$3:$A$7,Labor_Rates!$B$3:$B$7,""))</f>
        <v/>
      </c>
      <c r="E256" s="23" t="str">
        <f t="shared" si="1"/>
        <v/>
      </c>
      <c r="G256" s="23"/>
    </row>
    <row r="257" ht="15.75" customHeight="1">
      <c r="A257" s="23"/>
      <c r="D257" s="23" t="str">
        <f t="array" ref="D257">IF(OR($A257="",$G257=""),"",_xlfn.XLOOKUP($G257,Labor_Rates!$A$3:$A$7,Labor_Rates!$B$3:$B$7,""))</f>
        <v/>
      </c>
      <c r="E257" s="23" t="str">
        <f t="shared" si="1"/>
        <v/>
      </c>
      <c r="G257" s="23"/>
    </row>
    <row r="258" ht="15.75" customHeight="1">
      <c r="A258" s="23"/>
      <c r="D258" s="23" t="str">
        <f t="array" ref="D258">IF(OR($A258="",$G258=""),"",_xlfn.XLOOKUP($G258,Labor_Rates!$A$3:$A$7,Labor_Rates!$B$3:$B$7,""))</f>
        <v/>
      </c>
      <c r="E258" s="23" t="str">
        <f t="shared" si="1"/>
        <v/>
      </c>
      <c r="G258" s="23"/>
    </row>
    <row r="259" ht="15.75" customHeight="1">
      <c r="A259" s="23"/>
      <c r="D259" s="23" t="str">
        <f t="array" ref="D259">IF(OR($A259="",$G259=""),"",_xlfn.XLOOKUP($G259,Labor_Rates!$A$3:$A$7,Labor_Rates!$B$3:$B$7,""))</f>
        <v/>
      </c>
      <c r="E259" s="23" t="str">
        <f t="shared" si="1"/>
        <v/>
      </c>
      <c r="G259" s="23"/>
    </row>
    <row r="260" ht="15.75" customHeight="1">
      <c r="A260" s="23"/>
      <c r="D260" s="23" t="str">
        <f t="array" ref="D260">IF(OR($A260="",$G260=""),"",_xlfn.XLOOKUP($G260,Labor_Rates!$A$3:$A$7,Labor_Rates!$B$3:$B$7,""))</f>
        <v/>
      </c>
      <c r="E260" s="23" t="str">
        <f t="shared" si="1"/>
        <v/>
      </c>
      <c r="G260" s="23"/>
    </row>
    <row r="261" ht="15.75" customHeight="1">
      <c r="A261" s="23"/>
      <c r="D261" s="23" t="str">
        <f t="array" ref="D261">IF(OR($A261="",$G261=""),"",_xlfn.XLOOKUP($G261,Labor_Rates!$A$3:$A$7,Labor_Rates!$B$3:$B$7,""))</f>
        <v/>
      </c>
      <c r="E261" s="23" t="str">
        <f t="shared" si="1"/>
        <v/>
      </c>
      <c r="G261" s="23"/>
    </row>
    <row r="262" ht="15.75" customHeight="1">
      <c r="A262" s="23"/>
      <c r="D262" s="23" t="str">
        <f t="array" ref="D262">IF(OR($A262="",$G262=""),"",_xlfn.XLOOKUP($G262,Labor_Rates!$A$3:$A$7,Labor_Rates!$B$3:$B$7,""))</f>
        <v/>
      </c>
      <c r="E262" s="23" t="str">
        <f t="shared" si="1"/>
        <v/>
      </c>
      <c r="G262" s="23"/>
    </row>
    <row r="263" ht="15.75" customHeight="1">
      <c r="A263" s="23"/>
      <c r="D263" s="23" t="str">
        <f t="array" ref="D263">IF(OR($A263="",$G263=""),"",_xlfn.XLOOKUP($G263,Labor_Rates!$A$3:$A$7,Labor_Rates!$B$3:$B$7,""))</f>
        <v/>
      </c>
      <c r="E263" s="23" t="str">
        <f t="shared" si="1"/>
        <v/>
      </c>
      <c r="G263" s="23"/>
    </row>
    <row r="264" ht="15.75" customHeight="1">
      <c r="A264" s="23"/>
      <c r="D264" s="23" t="str">
        <f t="array" ref="D264">IF(OR($A264="",$G264=""),"",_xlfn.XLOOKUP($G264,Labor_Rates!$A$3:$A$7,Labor_Rates!$B$3:$B$7,""))</f>
        <v/>
      </c>
      <c r="E264" s="23" t="str">
        <f t="shared" si="1"/>
        <v/>
      </c>
      <c r="G264" s="23"/>
    </row>
    <row r="265" ht="15.75" customHeight="1">
      <c r="A265" s="23"/>
      <c r="D265" s="23" t="str">
        <f t="array" ref="D265">IF(OR($A265="",$G265=""),"",_xlfn.XLOOKUP($G265,Labor_Rates!$A$3:$A$7,Labor_Rates!$B$3:$B$7,""))</f>
        <v/>
      </c>
      <c r="E265" s="23" t="str">
        <f t="shared" si="1"/>
        <v/>
      </c>
      <c r="G265" s="23"/>
    </row>
    <row r="266" ht="15.75" customHeight="1">
      <c r="A266" s="23"/>
      <c r="D266" s="23" t="str">
        <f t="array" ref="D266">IF(OR($A266="",$G266=""),"",_xlfn.XLOOKUP($G266,Labor_Rates!$A$3:$A$7,Labor_Rates!$B$3:$B$7,""))</f>
        <v/>
      </c>
      <c r="E266" s="23" t="str">
        <f t="shared" si="1"/>
        <v/>
      </c>
      <c r="G266" s="23"/>
    </row>
    <row r="267" ht="15.75" customHeight="1">
      <c r="A267" s="23"/>
      <c r="D267" s="23" t="str">
        <f t="array" ref="D267">IF(OR($A267="",$G267=""),"",_xlfn.XLOOKUP($G267,Labor_Rates!$A$3:$A$7,Labor_Rates!$B$3:$B$7,""))</f>
        <v/>
      </c>
      <c r="E267" s="23" t="str">
        <f t="shared" si="1"/>
        <v/>
      </c>
      <c r="G267" s="23"/>
    </row>
    <row r="268" ht="15.75" customHeight="1">
      <c r="A268" s="23"/>
      <c r="D268" s="23" t="str">
        <f t="array" ref="D268">IF(OR($A268="",$G268=""),"",_xlfn.XLOOKUP($G268,Labor_Rates!$A$3:$A$7,Labor_Rates!$B$3:$B$7,""))</f>
        <v/>
      </c>
      <c r="E268" s="23" t="str">
        <f t="shared" si="1"/>
        <v/>
      </c>
      <c r="G268" s="23"/>
    </row>
    <row r="269" ht="15.75" customHeight="1">
      <c r="A269" s="23"/>
      <c r="D269" s="23" t="str">
        <f t="array" ref="D269">IF(OR($A269="",$G269=""),"",_xlfn.XLOOKUP($G269,Labor_Rates!$A$3:$A$7,Labor_Rates!$B$3:$B$7,""))</f>
        <v/>
      </c>
      <c r="E269" s="23" t="str">
        <f t="shared" si="1"/>
        <v/>
      </c>
      <c r="G269" s="23"/>
    </row>
    <row r="270" ht="15.75" customHeight="1">
      <c r="A270" s="23"/>
      <c r="D270" s="23" t="str">
        <f t="array" ref="D270">IF(OR($A270="",$G270=""),"",_xlfn.XLOOKUP($G270,Labor_Rates!$A$3:$A$7,Labor_Rates!$B$3:$B$7,""))</f>
        <v/>
      </c>
      <c r="E270" s="23" t="str">
        <f t="shared" si="1"/>
        <v/>
      </c>
      <c r="G270" s="23"/>
    </row>
    <row r="271" ht="15.75" customHeight="1">
      <c r="A271" s="23"/>
      <c r="D271" s="23" t="str">
        <f t="array" ref="D271">IF(OR($A271="",$G271=""),"",_xlfn.XLOOKUP($G271,Labor_Rates!$A$3:$A$7,Labor_Rates!$B$3:$B$7,""))</f>
        <v/>
      </c>
      <c r="E271" s="23" t="str">
        <f t="shared" si="1"/>
        <v/>
      </c>
      <c r="G271" s="23"/>
    </row>
    <row r="272" ht="15.75" customHeight="1">
      <c r="A272" s="23"/>
      <c r="D272" s="23" t="str">
        <f t="array" ref="D272">IF(OR($A272="",$G272=""),"",_xlfn.XLOOKUP($G272,Labor_Rates!$A$3:$A$7,Labor_Rates!$B$3:$B$7,""))</f>
        <v/>
      </c>
      <c r="E272" s="23" t="str">
        <f t="shared" si="1"/>
        <v/>
      </c>
      <c r="G272" s="23"/>
    </row>
    <row r="273" ht="15.75" customHeight="1">
      <c r="A273" s="23"/>
      <c r="D273" s="23" t="str">
        <f t="array" ref="D273">IF(OR($A273="",$G273=""),"",_xlfn.XLOOKUP($G273,Labor_Rates!$A$3:$A$7,Labor_Rates!$B$3:$B$7,""))</f>
        <v/>
      </c>
      <c r="E273" s="23" t="str">
        <f t="shared" si="1"/>
        <v/>
      </c>
      <c r="G273" s="23"/>
    </row>
    <row r="274" ht="15.75" customHeight="1">
      <c r="A274" s="23"/>
      <c r="D274" s="23" t="str">
        <f t="array" ref="D274">IF(OR($A274="",$G274=""),"",_xlfn.XLOOKUP($G274,Labor_Rates!$A$3:$A$7,Labor_Rates!$B$3:$B$7,""))</f>
        <v/>
      </c>
      <c r="E274" s="23" t="str">
        <f t="shared" si="1"/>
        <v/>
      </c>
      <c r="G274" s="23"/>
    </row>
    <row r="275" ht="15.75" customHeight="1">
      <c r="A275" s="23"/>
      <c r="D275" s="23" t="str">
        <f t="array" ref="D275">IF(OR($A275="",$G275=""),"",_xlfn.XLOOKUP($G275,Labor_Rates!$A$3:$A$7,Labor_Rates!$B$3:$B$7,""))</f>
        <v/>
      </c>
      <c r="E275" s="23" t="str">
        <f t="shared" si="1"/>
        <v/>
      </c>
      <c r="G275" s="23"/>
    </row>
    <row r="276" ht="15.75" customHeight="1">
      <c r="A276" s="23"/>
      <c r="D276" s="23" t="str">
        <f t="array" ref="D276">IF(OR($A276="",$G276=""),"",_xlfn.XLOOKUP($G276,Labor_Rates!$A$3:$A$7,Labor_Rates!$B$3:$B$7,""))</f>
        <v/>
      </c>
      <c r="E276" s="23" t="str">
        <f t="shared" si="1"/>
        <v/>
      </c>
      <c r="G276" s="23"/>
    </row>
    <row r="277" ht="15.75" customHeight="1">
      <c r="A277" s="23"/>
      <c r="D277" s="23" t="str">
        <f t="array" ref="D277">IF(OR($A277="",$G277=""),"",_xlfn.XLOOKUP($G277,Labor_Rates!$A$3:$A$7,Labor_Rates!$B$3:$B$7,""))</f>
        <v/>
      </c>
      <c r="E277" s="23" t="str">
        <f t="shared" si="1"/>
        <v/>
      </c>
      <c r="G277" s="23"/>
    </row>
    <row r="278" ht="15.75" customHeight="1">
      <c r="A278" s="23"/>
      <c r="D278" s="23" t="str">
        <f t="array" ref="D278">IF(OR($A278="",$G278=""),"",_xlfn.XLOOKUP($G278,Labor_Rates!$A$3:$A$7,Labor_Rates!$B$3:$B$7,""))</f>
        <v/>
      </c>
      <c r="E278" s="23" t="str">
        <f t="shared" si="1"/>
        <v/>
      </c>
      <c r="G278" s="23"/>
    </row>
    <row r="279" ht="15.75" customHeight="1">
      <c r="A279" s="23"/>
      <c r="D279" s="23" t="str">
        <f t="array" ref="D279">IF(OR($A279="",$G279=""),"",_xlfn.XLOOKUP($G279,Labor_Rates!$A$3:$A$7,Labor_Rates!$B$3:$B$7,""))</f>
        <v/>
      </c>
      <c r="E279" s="23" t="str">
        <f t="shared" si="1"/>
        <v/>
      </c>
      <c r="G279" s="23"/>
    </row>
    <row r="280" ht="15.75" customHeight="1">
      <c r="A280" s="23"/>
      <c r="D280" s="23" t="str">
        <f t="array" ref="D280">IF(OR($A280="",$G280=""),"",_xlfn.XLOOKUP($G280,Labor_Rates!$A$3:$A$7,Labor_Rates!$B$3:$B$7,""))</f>
        <v/>
      </c>
      <c r="E280" s="23" t="str">
        <f t="shared" si="1"/>
        <v/>
      </c>
      <c r="G280" s="23"/>
    </row>
    <row r="281" ht="15.75" customHeight="1">
      <c r="A281" s="23"/>
      <c r="D281" s="23" t="str">
        <f t="array" ref="D281">IF(OR($A281="",$G281=""),"",_xlfn.XLOOKUP($G281,Labor_Rates!$A$3:$A$7,Labor_Rates!$B$3:$B$7,""))</f>
        <v/>
      </c>
      <c r="E281" s="23" t="str">
        <f t="shared" si="1"/>
        <v/>
      </c>
      <c r="G281" s="23"/>
    </row>
    <row r="282" ht="15.75" customHeight="1">
      <c r="A282" s="23"/>
      <c r="D282" s="23" t="str">
        <f t="array" ref="D282">IF(OR($A282="",$G282=""),"",_xlfn.XLOOKUP($G282,Labor_Rates!$A$3:$A$7,Labor_Rates!$B$3:$B$7,""))</f>
        <v/>
      </c>
      <c r="E282" s="23" t="str">
        <f t="shared" si="1"/>
        <v/>
      </c>
      <c r="G282" s="23"/>
    </row>
    <row r="283" ht="15.75" customHeight="1">
      <c r="A283" s="23"/>
      <c r="D283" s="23" t="str">
        <f t="array" ref="D283">IF(OR($A283="",$G283=""),"",_xlfn.XLOOKUP($G283,Labor_Rates!$A$3:$A$7,Labor_Rates!$B$3:$B$7,""))</f>
        <v/>
      </c>
      <c r="E283" s="23" t="str">
        <f t="shared" si="1"/>
        <v/>
      </c>
      <c r="G283" s="23"/>
    </row>
    <row r="284" ht="15.75" customHeight="1">
      <c r="A284" s="23"/>
      <c r="D284" s="23" t="str">
        <f t="array" ref="D284">IF(OR($A284="",$G284=""),"",_xlfn.XLOOKUP($G284,Labor_Rates!$A$3:$A$7,Labor_Rates!$B$3:$B$7,""))</f>
        <v/>
      </c>
      <c r="E284" s="23" t="str">
        <f t="shared" si="1"/>
        <v/>
      </c>
      <c r="G284" s="23"/>
    </row>
    <row r="285" ht="15.75" customHeight="1">
      <c r="A285" s="23"/>
      <c r="D285" s="23" t="str">
        <f t="array" ref="D285">IF(OR($A285="",$G285=""),"",_xlfn.XLOOKUP($G285,Labor_Rates!$A$3:$A$7,Labor_Rates!$B$3:$B$7,""))</f>
        <v/>
      </c>
      <c r="E285" s="23" t="str">
        <f t="shared" si="1"/>
        <v/>
      </c>
      <c r="G285" s="23"/>
    </row>
    <row r="286" ht="15.75" customHeight="1">
      <c r="A286" s="23"/>
      <c r="D286" s="23" t="str">
        <f t="array" ref="D286">IF(OR($A286="",$G286=""),"",_xlfn.XLOOKUP($G286,Labor_Rates!$A$3:$A$7,Labor_Rates!$B$3:$B$7,""))</f>
        <v/>
      </c>
      <c r="E286" s="23" t="str">
        <f t="shared" si="1"/>
        <v/>
      </c>
      <c r="G286" s="23"/>
    </row>
    <row r="287" ht="15.75" customHeight="1">
      <c r="A287" s="23"/>
      <c r="D287" s="23" t="str">
        <f t="array" ref="D287">IF(OR($A287="",$G287=""),"",_xlfn.XLOOKUP($G287,Labor_Rates!$A$3:$A$7,Labor_Rates!$B$3:$B$7,""))</f>
        <v/>
      </c>
      <c r="E287" s="23" t="str">
        <f t="shared" si="1"/>
        <v/>
      </c>
      <c r="G287" s="23"/>
    </row>
    <row r="288" ht="15.75" customHeight="1">
      <c r="A288" s="23"/>
      <c r="D288" s="23" t="str">
        <f t="array" ref="D288">IF(OR($A288="",$G288=""),"",_xlfn.XLOOKUP($G288,Labor_Rates!$A$3:$A$7,Labor_Rates!$B$3:$B$7,""))</f>
        <v/>
      </c>
      <c r="E288" s="23" t="str">
        <f t="shared" si="1"/>
        <v/>
      </c>
      <c r="G288" s="23"/>
    </row>
    <row r="289" ht="15.75" customHeight="1">
      <c r="A289" s="23"/>
      <c r="D289" s="23" t="str">
        <f t="array" ref="D289">IF(OR($A289="",$G289=""),"",_xlfn.XLOOKUP($G289,Labor_Rates!$A$3:$A$7,Labor_Rates!$B$3:$B$7,""))</f>
        <v/>
      </c>
      <c r="E289" s="23" t="str">
        <f t="shared" si="1"/>
        <v/>
      </c>
      <c r="G289" s="23"/>
    </row>
    <row r="290" ht="15.75" customHeight="1">
      <c r="A290" s="23"/>
      <c r="D290" s="23" t="str">
        <f t="array" ref="D290">IF(OR($A290="",$G290=""),"",_xlfn.XLOOKUP($G290,Labor_Rates!$A$3:$A$7,Labor_Rates!$B$3:$B$7,""))</f>
        <v/>
      </c>
      <c r="E290" s="23" t="str">
        <f t="shared" si="1"/>
        <v/>
      </c>
      <c r="G290" s="23"/>
    </row>
    <row r="291" ht="15.75" customHeight="1">
      <c r="A291" s="23"/>
      <c r="D291" s="23" t="str">
        <f t="array" ref="D291">IF(OR($A291="",$G291=""),"",_xlfn.XLOOKUP($G291,Labor_Rates!$A$3:$A$7,Labor_Rates!$B$3:$B$7,""))</f>
        <v/>
      </c>
      <c r="E291" s="23" t="str">
        <f t="shared" si="1"/>
        <v/>
      </c>
      <c r="G291" s="23"/>
    </row>
    <row r="292" ht="15.75" customHeight="1">
      <c r="A292" s="23"/>
      <c r="D292" s="23" t="str">
        <f t="array" ref="D292">IF(OR($A292="",$G292=""),"",_xlfn.XLOOKUP($G292,Labor_Rates!$A$3:$A$7,Labor_Rates!$B$3:$B$7,""))</f>
        <v/>
      </c>
      <c r="E292" s="23" t="str">
        <f t="shared" si="1"/>
        <v/>
      </c>
      <c r="G292" s="23"/>
    </row>
    <row r="293" ht="15.75" customHeight="1">
      <c r="A293" s="23"/>
      <c r="D293" s="23" t="str">
        <f t="array" ref="D293">IF(OR($A293="",$G293=""),"",_xlfn.XLOOKUP($G293,Labor_Rates!$A$3:$A$7,Labor_Rates!$B$3:$B$7,""))</f>
        <v/>
      </c>
      <c r="E293" s="23" t="str">
        <f t="shared" si="1"/>
        <v/>
      </c>
      <c r="G293" s="23"/>
    </row>
    <row r="294" ht="15.75" customHeight="1">
      <c r="A294" s="23"/>
      <c r="D294" s="23" t="str">
        <f t="array" ref="D294">IF(OR($A294="",$G294=""),"",_xlfn.XLOOKUP($G294,Labor_Rates!$A$3:$A$7,Labor_Rates!$B$3:$B$7,""))</f>
        <v/>
      </c>
      <c r="E294" s="23" t="str">
        <f t="shared" si="1"/>
        <v/>
      </c>
      <c r="G294" s="23"/>
    </row>
    <row r="295" ht="15.75" customHeight="1">
      <c r="A295" s="23"/>
      <c r="D295" s="23" t="str">
        <f t="array" ref="D295">IF(OR($A295="",$G295=""),"",_xlfn.XLOOKUP($G295,Labor_Rates!$A$3:$A$7,Labor_Rates!$B$3:$B$7,""))</f>
        <v/>
      </c>
      <c r="E295" s="23" t="str">
        <f t="shared" si="1"/>
        <v/>
      </c>
      <c r="G295" s="23"/>
    </row>
    <row r="296" ht="15.75" customHeight="1">
      <c r="A296" s="23"/>
      <c r="D296" s="23" t="str">
        <f t="array" ref="D296">IF(OR($A296="",$G296=""),"",_xlfn.XLOOKUP($G296,Labor_Rates!$A$3:$A$7,Labor_Rates!$B$3:$B$7,""))</f>
        <v/>
      </c>
      <c r="E296" s="23" t="str">
        <f t="shared" si="1"/>
        <v/>
      </c>
      <c r="G296" s="23"/>
    </row>
    <row r="297" ht="15.75" customHeight="1">
      <c r="A297" s="23"/>
      <c r="D297" s="23" t="str">
        <f t="array" ref="D297">IF(OR($A297="",$G297=""),"",_xlfn.XLOOKUP($G297,Labor_Rates!$A$3:$A$7,Labor_Rates!$B$3:$B$7,""))</f>
        <v/>
      </c>
      <c r="E297" s="23" t="str">
        <f t="shared" si="1"/>
        <v/>
      </c>
      <c r="G297" s="23"/>
    </row>
    <row r="298" ht="15.75" customHeight="1">
      <c r="A298" s="23"/>
      <c r="D298" s="23" t="str">
        <f t="array" ref="D298">IF(OR($A298="",$G298=""),"",_xlfn.XLOOKUP($G298,Labor_Rates!$A$3:$A$7,Labor_Rates!$B$3:$B$7,""))</f>
        <v/>
      </c>
      <c r="E298" s="23" t="str">
        <f t="shared" si="1"/>
        <v/>
      </c>
      <c r="G298" s="23"/>
    </row>
    <row r="299" ht="15.75" customHeight="1">
      <c r="A299" s="23"/>
      <c r="D299" s="23" t="str">
        <f t="array" ref="D299">IF(OR($A299="",$G299=""),"",_xlfn.XLOOKUP($G299,Labor_Rates!$A$3:$A$7,Labor_Rates!$B$3:$B$7,""))</f>
        <v/>
      </c>
      <c r="E299" s="23" t="str">
        <f t="shared" si="1"/>
        <v/>
      </c>
      <c r="G299" s="23"/>
    </row>
    <row r="300" ht="15.75" customHeight="1">
      <c r="A300" s="23"/>
      <c r="D300" s="23" t="str">
        <f t="array" ref="D300">IF(OR($A300="",$G300=""),"",_xlfn.XLOOKUP($G300,Labor_Rates!$A$3:$A$7,Labor_Rates!$B$3:$B$7,""))</f>
        <v/>
      </c>
      <c r="E300" s="23" t="str">
        <f t="shared" si="1"/>
        <v/>
      </c>
      <c r="G300" s="23"/>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A2:A300">
      <formula1>"General Conditions &amp; Project Management,Selective Demolition,Framing,Windows &amp; Exterior Openings,Plumbing &amp; Waste Pump System,Electrical,HVAC - 3 Zone Mini Split,Insulation &amp; Air Sealing,Drywall &amp; Finishing,Suspended Ceiling System,Interior Doors,Trim &amp; H"&amp;"ardware,Flooring,Painting,Master Bathroom,Kitchen,Cleanup &amp; Closeout"</formula1>
    </dataValidation>
    <dataValidation type="list" allowBlank="1" sqref="G2:G300">
      <formula1>"General Labor,Team Lead,Electrical/HVAC,Plumbing,Project Manager"</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0"/>
    <col customWidth="1" min="2" max="2" width="24.0"/>
    <col customWidth="1" min="3" max="3" width="32.0"/>
    <col customWidth="1" min="4" max="8" width="12.0"/>
    <col customWidth="1" min="9" max="9" width="34.0"/>
    <col customWidth="1" min="10" max="26" width="8.63"/>
  </cols>
  <sheetData>
    <row r="1">
      <c r="A1" s="4" t="s">
        <v>0</v>
      </c>
      <c r="B1" s="4" t="s">
        <v>21</v>
      </c>
      <c r="C1" s="4" t="s">
        <v>24</v>
      </c>
      <c r="D1" s="4" t="s">
        <v>7</v>
      </c>
      <c r="E1" s="4" t="s">
        <v>9</v>
      </c>
      <c r="F1" s="4" t="s">
        <v>10</v>
      </c>
      <c r="G1" s="4" t="s">
        <v>36</v>
      </c>
      <c r="H1" s="4" t="s">
        <v>14</v>
      </c>
      <c r="I1" s="4" t="s">
        <v>11</v>
      </c>
    </row>
    <row r="2">
      <c r="A2" s="9" t="s">
        <v>17</v>
      </c>
      <c r="B2" s="9" t="s">
        <v>40</v>
      </c>
      <c r="C2" s="9" t="s">
        <v>44</v>
      </c>
      <c r="D2" s="12">
        <v>1.0</v>
      </c>
      <c r="E2" s="9" t="s">
        <v>47</v>
      </c>
      <c r="F2" s="16">
        <v>280.0</v>
      </c>
      <c r="G2" s="19">
        <v>0.0</v>
      </c>
      <c r="H2" s="16">
        <f t="shared" ref="H2:H67" si="1">IF(OR($A2="",$D2=""),"",$D2*$F2*(1+$G2))</f>
        <v>280</v>
      </c>
      <c r="I2" s="9"/>
    </row>
    <row r="3">
      <c r="A3" s="9" t="s">
        <v>17</v>
      </c>
      <c r="B3" s="9" t="s">
        <v>56</v>
      </c>
      <c r="C3" s="9" t="s">
        <v>57</v>
      </c>
      <c r="D3" s="12">
        <v>1.0</v>
      </c>
      <c r="E3" s="9" t="s">
        <v>47</v>
      </c>
      <c r="F3" s="16">
        <v>680.0</v>
      </c>
      <c r="G3" s="19">
        <v>0.0</v>
      </c>
      <c r="H3" s="16">
        <f t="shared" si="1"/>
        <v>680</v>
      </c>
      <c r="I3" s="9" t="s">
        <v>59</v>
      </c>
    </row>
    <row r="4">
      <c r="A4" s="9" t="s">
        <v>17</v>
      </c>
      <c r="B4" s="9" t="s">
        <v>60</v>
      </c>
      <c r="C4" s="9" t="s">
        <v>61</v>
      </c>
      <c r="D4" s="12">
        <v>1.0</v>
      </c>
      <c r="E4" s="9" t="s">
        <v>47</v>
      </c>
      <c r="F4" s="16">
        <v>180.0</v>
      </c>
      <c r="G4" s="19">
        <v>0.0</v>
      </c>
      <c r="H4" s="16">
        <f t="shared" si="1"/>
        <v>180</v>
      </c>
      <c r="I4" s="9"/>
    </row>
    <row r="5">
      <c r="A5" s="9" t="s">
        <v>23</v>
      </c>
      <c r="B5" s="9" t="s">
        <v>64</v>
      </c>
      <c r="C5" s="9" t="s">
        <v>66</v>
      </c>
      <c r="D5" s="12">
        <v>1.0</v>
      </c>
      <c r="E5" s="9" t="s">
        <v>47</v>
      </c>
      <c r="F5" s="16">
        <v>120.0</v>
      </c>
      <c r="G5" s="19">
        <v>0.0</v>
      </c>
      <c r="H5" s="16">
        <f t="shared" si="1"/>
        <v>120</v>
      </c>
      <c r="I5" s="9"/>
    </row>
    <row r="6">
      <c r="A6" s="9" t="s">
        <v>23</v>
      </c>
      <c r="B6" s="9" t="s">
        <v>68</v>
      </c>
      <c r="C6" s="9" t="s">
        <v>70</v>
      </c>
      <c r="D6" s="12">
        <v>3.0</v>
      </c>
      <c r="E6" s="9" t="s">
        <v>32</v>
      </c>
      <c r="F6" s="16">
        <v>450.0</v>
      </c>
      <c r="G6" s="19">
        <v>0.0</v>
      </c>
      <c r="H6" s="16">
        <f t="shared" si="1"/>
        <v>1350</v>
      </c>
      <c r="I6" s="9" t="s">
        <v>72</v>
      </c>
    </row>
    <row r="7">
      <c r="A7" s="9" t="s">
        <v>43</v>
      </c>
      <c r="B7" s="9" t="s">
        <v>73</v>
      </c>
      <c r="C7" s="9" t="s">
        <v>75</v>
      </c>
      <c r="D7" s="12">
        <v>16.0</v>
      </c>
      <c r="E7" s="9" t="s">
        <v>77</v>
      </c>
      <c r="F7" s="16">
        <v>7.5</v>
      </c>
      <c r="G7" s="19">
        <v>0.05</v>
      </c>
      <c r="H7" s="16">
        <f t="shared" si="1"/>
        <v>126</v>
      </c>
      <c r="I7" s="9" t="s">
        <v>78</v>
      </c>
    </row>
    <row r="8">
      <c r="A8" s="9" t="s">
        <v>43</v>
      </c>
      <c r="B8" s="9" t="s">
        <v>79</v>
      </c>
      <c r="C8" s="9" t="s">
        <v>80</v>
      </c>
      <c r="D8" s="12">
        <v>8.0</v>
      </c>
      <c r="E8" s="9" t="s">
        <v>32</v>
      </c>
      <c r="F8" s="16">
        <v>32.0</v>
      </c>
      <c r="G8" s="19">
        <v>0.0</v>
      </c>
      <c r="H8" s="16">
        <f t="shared" si="1"/>
        <v>256</v>
      </c>
      <c r="I8" s="9"/>
    </row>
    <row r="9">
      <c r="A9" s="9" t="s">
        <v>43</v>
      </c>
      <c r="B9" s="9" t="s">
        <v>83</v>
      </c>
      <c r="C9" s="9" t="s">
        <v>84</v>
      </c>
      <c r="D9" s="12">
        <v>8.0</v>
      </c>
      <c r="E9" s="9" t="s">
        <v>85</v>
      </c>
      <c r="F9" s="16">
        <v>14.0</v>
      </c>
      <c r="G9" s="19">
        <v>0.0</v>
      </c>
      <c r="H9" s="16">
        <f t="shared" si="1"/>
        <v>112</v>
      </c>
      <c r="I9" s="9"/>
    </row>
    <row r="10">
      <c r="A10" s="9" t="s">
        <v>43</v>
      </c>
      <c r="B10" s="9" t="s">
        <v>88</v>
      </c>
      <c r="C10" s="9" t="s">
        <v>89</v>
      </c>
      <c r="D10" s="12">
        <v>8.0</v>
      </c>
      <c r="E10" s="9" t="s">
        <v>32</v>
      </c>
      <c r="F10" s="16">
        <v>85.0</v>
      </c>
      <c r="G10" s="19">
        <v>0.05</v>
      </c>
      <c r="H10" s="16">
        <f t="shared" si="1"/>
        <v>714</v>
      </c>
      <c r="I10" s="9"/>
    </row>
    <row r="11">
      <c r="A11" s="9" t="s">
        <v>43</v>
      </c>
      <c r="B11" s="9" t="s">
        <v>91</v>
      </c>
      <c r="C11" s="9" t="s">
        <v>92</v>
      </c>
      <c r="D11" s="12">
        <v>132.0</v>
      </c>
      <c r="E11" s="9" t="s">
        <v>93</v>
      </c>
      <c r="F11" s="16">
        <v>5.8</v>
      </c>
      <c r="G11" s="19">
        <v>0.1</v>
      </c>
      <c r="H11" s="16">
        <f t="shared" si="1"/>
        <v>842.16</v>
      </c>
      <c r="I11" s="9"/>
    </row>
    <row r="12">
      <c r="A12" s="9" t="s">
        <v>43</v>
      </c>
      <c r="B12" s="9" t="s">
        <v>95</v>
      </c>
      <c r="C12" s="9" t="s">
        <v>96</v>
      </c>
      <c r="D12" s="12">
        <v>1.0</v>
      </c>
      <c r="E12" s="9" t="s">
        <v>47</v>
      </c>
      <c r="F12" s="16">
        <v>180.0</v>
      </c>
      <c r="G12" s="19">
        <v>0.0</v>
      </c>
      <c r="H12" s="16">
        <f t="shared" si="1"/>
        <v>180</v>
      </c>
      <c r="I12" s="9"/>
    </row>
    <row r="13">
      <c r="A13" s="9" t="s">
        <v>43</v>
      </c>
      <c r="B13" s="9" t="s">
        <v>99</v>
      </c>
      <c r="C13" s="9" t="s">
        <v>101</v>
      </c>
      <c r="D13" s="12">
        <v>8.0</v>
      </c>
      <c r="E13" s="9" t="s">
        <v>32</v>
      </c>
      <c r="F13" s="16">
        <v>22.0</v>
      </c>
      <c r="G13" s="19">
        <v>0.0</v>
      </c>
      <c r="H13" s="16">
        <f t="shared" si="1"/>
        <v>176</v>
      </c>
      <c r="I13" s="9"/>
    </row>
    <row r="14">
      <c r="A14" s="9" t="s">
        <v>51</v>
      </c>
      <c r="B14" s="9" t="s">
        <v>103</v>
      </c>
      <c r="C14" s="9" t="s">
        <v>104</v>
      </c>
      <c r="D14" s="12">
        <v>34.0</v>
      </c>
      <c r="E14" s="9" t="s">
        <v>32</v>
      </c>
      <c r="F14" s="16">
        <v>42.0</v>
      </c>
      <c r="G14" s="19">
        <v>0.05</v>
      </c>
      <c r="H14" s="16">
        <f t="shared" si="1"/>
        <v>1499.4</v>
      </c>
      <c r="I14" s="9"/>
    </row>
    <row r="15">
      <c r="A15" s="9" t="s">
        <v>51</v>
      </c>
      <c r="B15" s="9" t="s">
        <v>107</v>
      </c>
      <c r="C15" s="9" t="s">
        <v>108</v>
      </c>
      <c r="D15" s="12">
        <v>1.0</v>
      </c>
      <c r="E15" s="9" t="s">
        <v>47</v>
      </c>
      <c r="F15" s="16">
        <v>380.0</v>
      </c>
      <c r="G15" s="19">
        <v>0.1</v>
      </c>
      <c r="H15" s="16">
        <f t="shared" si="1"/>
        <v>418</v>
      </c>
      <c r="I15" s="9"/>
    </row>
    <row r="16">
      <c r="A16" s="9" t="s">
        <v>51</v>
      </c>
      <c r="B16" s="9" t="s">
        <v>110</v>
      </c>
      <c r="C16" s="9" t="s">
        <v>111</v>
      </c>
      <c r="D16" s="12">
        <v>34.0</v>
      </c>
      <c r="E16" s="9" t="s">
        <v>32</v>
      </c>
      <c r="F16" s="16">
        <v>2.8</v>
      </c>
      <c r="G16" s="19">
        <v>0.05</v>
      </c>
      <c r="H16" s="16">
        <f t="shared" si="1"/>
        <v>99.96</v>
      </c>
      <c r="I16" s="9"/>
    </row>
    <row r="17">
      <c r="A17" s="9" t="s">
        <v>51</v>
      </c>
      <c r="B17" s="9" t="s">
        <v>113</v>
      </c>
      <c r="C17" s="9" t="s">
        <v>114</v>
      </c>
      <c r="D17" s="12">
        <v>15.0</v>
      </c>
      <c r="E17" s="9" t="s">
        <v>115</v>
      </c>
      <c r="F17" s="16">
        <v>62.0</v>
      </c>
      <c r="G17" s="19">
        <v>0.05</v>
      </c>
      <c r="H17" s="16">
        <f t="shared" si="1"/>
        <v>976.5</v>
      </c>
      <c r="I17" s="9"/>
    </row>
    <row r="18">
      <c r="A18" s="9" t="s">
        <v>51</v>
      </c>
      <c r="B18" s="9" t="s">
        <v>116</v>
      </c>
      <c r="C18" s="9" t="s">
        <v>117</v>
      </c>
      <c r="D18" s="12">
        <v>4.0</v>
      </c>
      <c r="E18" s="9" t="s">
        <v>32</v>
      </c>
      <c r="F18" s="16">
        <v>8.0</v>
      </c>
      <c r="G18" s="19">
        <v>0.0</v>
      </c>
      <c r="H18" s="16">
        <f t="shared" si="1"/>
        <v>32</v>
      </c>
      <c r="I18" s="9"/>
    </row>
    <row r="19">
      <c r="A19" s="9" t="s">
        <v>51</v>
      </c>
      <c r="B19" s="9" t="s">
        <v>119</v>
      </c>
      <c r="C19" s="9" t="s">
        <v>120</v>
      </c>
      <c r="D19" s="12">
        <v>430.0</v>
      </c>
      <c r="E19" s="9" t="s">
        <v>121</v>
      </c>
      <c r="F19" s="16">
        <v>0.58</v>
      </c>
      <c r="G19" s="19">
        <v>0.1</v>
      </c>
      <c r="H19" s="16">
        <f t="shared" si="1"/>
        <v>274.34</v>
      </c>
      <c r="I19" s="9"/>
    </row>
    <row r="20">
      <c r="A20" s="9" t="s">
        <v>51</v>
      </c>
      <c r="B20" s="9" t="s">
        <v>124</v>
      </c>
      <c r="C20" s="9" t="s">
        <v>125</v>
      </c>
      <c r="D20" s="12">
        <v>5.0</v>
      </c>
      <c r="E20" s="9" t="s">
        <v>126</v>
      </c>
      <c r="F20" s="16">
        <v>95.0</v>
      </c>
      <c r="G20" s="19">
        <v>0.1</v>
      </c>
      <c r="H20" s="16">
        <f t="shared" si="1"/>
        <v>522.5</v>
      </c>
      <c r="I20" s="9" t="s">
        <v>127</v>
      </c>
    </row>
    <row r="21" ht="15.75" customHeight="1">
      <c r="A21" s="9" t="s">
        <v>51</v>
      </c>
      <c r="B21" s="9" t="s">
        <v>129</v>
      </c>
      <c r="C21" s="9" t="s">
        <v>130</v>
      </c>
      <c r="D21" s="12">
        <v>1.0</v>
      </c>
      <c r="E21" s="9" t="s">
        <v>47</v>
      </c>
      <c r="F21" s="16">
        <v>95.0</v>
      </c>
      <c r="G21" s="19">
        <v>0.0</v>
      </c>
      <c r="H21" s="16">
        <f t="shared" si="1"/>
        <v>95</v>
      </c>
      <c r="I21" s="9"/>
    </row>
    <row r="22" ht="15.75" customHeight="1">
      <c r="A22" s="9" t="s">
        <v>65</v>
      </c>
      <c r="B22" s="9" t="s">
        <v>131</v>
      </c>
      <c r="C22" s="9" t="s">
        <v>132</v>
      </c>
      <c r="D22" s="12">
        <v>52.0</v>
      </c>
      <c r="E22" s="9" t="s">
        <v>32</v>
      </c>
      <c r="F22" s="16">
        <v>6.5</v>
      </c>
      <c r="G22" s="19">
        <v>0.1</v>
      </c>
      <c r="H22" s="16">
        <f t="shared" si="1"/>
        <v>371.8</v>
      </c>
      <c r="I22" s="9"/>
    </row>
    <row r="23" ht="15.75" customHeight="1">
      <c r="A23" s="9" t="s">
        <v>65</v>
      </c>
      <c r="B23" s="9" t="s">
        <v>134</v>
      </c>
      <c r="C23" s="9" t="s">
        <v>135</v>
      </c>
      <c r="D23" s="12">
        <v>24.0</v>
      </c>
      <c r="E23" s="9" t="s">
        <v>32</v>
      </c>
      <c r="F23" s="16">
        <v>6.5</v>
      </c>
      <c r="G23" s="19">
        <v>0.1</v>
      </c>
      <c r="H23" s="16">
        <f t="shared" si="1"/>
        <v>171.6</v>
      </c>
      <c r="I23" s="9"/>
    </row>
    <row r="24" ht="15.75" customHeight="1">
      <c r="A24" s="9" t="s">
        <v>65</v>
      </c>
      <c r="B24" s="9" t="s">
        <v>137</v>
      </c>
      <c r="C24" s="9" t="s">
        <v>138</v>
      </c>
      <c r="D24" s="12">
        <v>1.0</v>
      </c>
      <c r="E24" s="9" t="s">
        <v>47</v>
      </c>
      <c r="F24" s="16">
        <v>180.0</v>
      </c>
      <c r="G24" s="19">
        <v>0.1</v>
      </c>
      <c r="H24" s="16">
        <f t="shared" si="1"/>
        <v>198</v>
      </c>
      <c r="I24" s="9"/>
    </row>
    <row r="25" ht="15.75" customHeight="1">
      <c r="A25" s="9" t="s">
        <v>65</v>
      </c>
      <c r="B25" s="9" t="s">
        <v>140</v>
      </c>
      <c r="C25" s="9" t="s">
        <v>141</v>
      </c>
      <c r="D25" s="12">
        <v>1.0</v>
      </c>
      <c r="E25" s="9" t="s">
        <v>32</v>
      </c>
      <c r="F25" s="16">
        <v>55.0</v>
      </c>
      <c r="G25" s="19">
        <v>0.05</v>
      </c>
      <c r="H25" s="16">
        <f t="shared" si="1"/>
        <v>57.75</v>
      </c>
      <c r="I25" s="9"/>
    </row>
    <row r="26" ht="15.75" customHeight="1">
      <c r="A26" s="9" t="s">
        <v>65</v>
      </c>
      <c r="B26" s="9" t="s">
        <v>143</v>
      </c>
      <c r="C26" s="9" t="s">
        <v>144</v>
      </c>
      <c r="D26" s="12">
        <v>18.0</v>
      </c>
      <c r="E26" s="9" t="s">
        <v>115</v>
      </c>
      <c r="F26" s="16">
        <v>22.0</v>
      </c>
      <c r="G26" s="19">
        <v>0.1</v>
      </c>
      <c r="H26" s="16">
        <f t="shared" si="1"/>
        <v>435.6</v>
      </c>
      <c r="I26" s="9"/>
    </row>
    <row r="27" ht="15.75" customHeight="1">
      <c r="A27" s="9" t="s">
        <v>65</v>
      </c>
      <c r="B27" s="9" t="s">
        <v>146</v>
      </c>
      <c r="C27" s="9" t="s">
        <v>147</v>
      </c>
      <c r="D27" s="12">
        <v>1.0</v>
      </c>
      <c r="E27" s="9" t="s">
        <v>47</v>
      </c>
      <c r="F27" s="16">
        <v>95.0</v>
      </c>
      <c r="G27" s="19">
        <v>0.0</v>
      </c>
      <c r="H27" s="16">
        <f t="shared" si="1"/>
        <v>95</v>
      </c>
      <c r="I27" s="9"/>
    </row>
    <row r="28" ht="15.75" customHeight="1">
      <c r="A28" s="9" t="s">
        <v>65</v>
      </c>
      <c r="B28" s="9" t="s">
        <v>148</v>
      </c>
      <c r="C28" s="9" t="s">
        <v>149</v>
      </c>
      <c r="D28" s="12">
        <v>1.0</v>
      </c>
      <c r="E28" s="9" t="s">
        <v>47</v>
      </c>
      <c r="F28" s="16">
        <v>45.0</v>
      </c>
      <c r="G28" s="19">
        <v>0.0</v>
      </c>
      <c r="H28" s="16">
        <f t="shared" si="1"/>
        <v>45</v>
      </c>
      <c r="I28" s="9"/>
    </row>
    <row r="29" ht="15.75" customHeight="1">
      <c r="A29" s="9" t="s">
        <v>65</v>
      </c>
      <c r="B29" s="9" t="s">
        <v>151</v>
      </c>
      <c r="C29" s="9" t="s">
        <v>152</v>
      </c>
      <c r="D29" s="12">
        <v>5.0</v>
      </c>
      <c r="E29" s="9" t="s">
        <v>126</v>
      </c>
      <c r="F29" s="16">
        <v>150.0</v>
      </c>
      <c r="G29" s="19">
        <v>0.1</v>
      </c>
      <c r="H29" s="16">
        <f t="shared" si="1"/>
        <v>825</v>
      </c>
      <c r="I29" s="9" t="s">
        <v>153</v>
      </c>
    </row>
    <row r="30" ht="15.75" customHeight="1">
      <c r="A30" s="9" t="s">
        <v>65</v>
      </c>
      <c r="B30" s="9" t="s">
        <v>154</v>
      </c>
      <c r="C30" s="9" t="s">
        <v>155</v>
      </c>
      <c r="D30" s="12">
        <v>1.0</v>
      </c>
      <c r="E30" s="9" t="s">
        <v>47</v>
      </c>
      <c r="F30" s="16">
        <v>120.0</v>
      </c>
      <c r="G30" s="19">
        <v>0.0</v>
      </c>
      <c r="H30" s="16">
        <f t="shared" si="1"/>
        <v>120</v>
      </c>
      <c r="I30" s="9"/>
    </row>
    <row r="31" ht="15.75" customHeight="1">
      <c r="A31" s="9" t="s">
        <v>65</v>
      </c>
      <c r="B31" s="9" t="s">
        <v>158</v>
      </c>
      <c r="C31" s="9" t="s">
        <v>159</v>
      </c>
      <c r="D31" s="12">
        <v>1.0</v>
      </c>
      <c r="E31" s="9" t="s">
        <v>47</v>
      </c>
      <c r="F31" s="16">
        <v>120.0</v>
      </c>
      <c r="G31" s="19">
        <v>0.1</v>
      </c>
      <c r="H31" s="16">
        <f t="shared" si="1"/>
        <v>132</v>
      </c>
      <c r="I31" s="9"/>
    </row>
    <row r="32" ht="15.75" customHeight="1">
      <c r="A32" s="9" t="s">
        <v>65</v>
      </c>
      <c r="B32" s="9" t="s">
        <v>160</v>
      </c>
      <c r="C32" s="9" t="s">
        <v>161</v>
      </c>
      <c r="D32" s="12">
        <v>3.0</v>
      </c>
      <c r="E32" s="9" t="s">
        <v>32</v>
      </c>
      <c r="F32" s="16">
        <v>8.0</v>
      </c>
      <c r="G32" s="19">
        <v>0.0</v>
      </c>
      <c r="H32" s="16">
        <f t="shared" si="1"/>
        <v>24</v>
      </c>
      <c r="I32" s="9"/>
    </row>
    <row r="33" ht="15.75" customHeight="1">
      <c r="A33" s="9" t="s">
        <v>69</v>
      </c>
      <c r="B33" s="9" t="s">
        <v>168</v>
      </c>
      <c r="C33" s="9" t="s">
        <v>170</v>
      </c>
      <c r="D33" s="12">
        <v>6.0</v>
      </c>
      <c r="E33" s="9" t="s">
        <v>32</v>
      </c>
      <c r="F33" s="16">
        <v>300.0</v>
      </c>
      <c r="G33" s="19">
        <v>0.0</v>
      </c>
      <c r="H33" s="16">
        <f t="shared" si="1"/>
        <v>1800</v>
      </c>
      <c r="I33" s="9" t="s">
        <v>153</v>
      </c>
    </row>
    <row r="34" ht="15.75" customHeight="1">
      <c r="A34" s="9" t="s">
        <v>69</v>
      </c>
      <c r="B34" s="9" t="s">
        <v>182</v>
      </c>
      <c r="C34" s="9" t="s">
        <v>183</v>
      </c>
      <c r="D34" s="12">
        <v>1.0</v>
      </c>
      <c r="E34" s="9" t="s">
        <v>32</v>
      </c>
      <c r="F34" s="16">
        <v>500.0</v>
      </c>
      <c r="G34" s="19">
        <v>0.0</v>
      </c>
      <c r="H34" s="16">
        <f t="shared" si="1"/>
        <v>500</v>
      </c>
      <c r="I34" s="9" t="s">
        <v>153</v>
      </c>
    </row>
    <row r="35" ht="15.75" customHeight="1">
      <c r="A35" s="9" t="s">
        <v>69</v>
      </c>
      <c r="B35" s="9" t="s">
        <v>189</v>
      </c>
      <c r="C35" s="9" t="s">
        <v>191</v>
      </c>
      <c r="D35" s="12">
        <v>1.0</v>
      </c>
      <c r="E35" s="9" t="s">
        <v>47</v>
      </c>
      <c r="F35" s="16">
        <v>95.0</v>
      </c>
      <c r="G35" s="19">
        <v>0.0</v>
      </c>
      <c r="H35" s="16">
        <f t="shared" si="1"/>
        <v>95</v>
      </c>
      <c r="I35" s="9"/>
    </row>
    <row r="36" ht="15.75" customHeight="1">
      <c r="A36" s="9" t="s">
        <v>69</v>
      </c>
      <c r="B36" s="9" t="s">
        <v>193</v>
      </c>
      <c r="C36" s="9" t="s">
        <v>194</v>
      </c>
      <c r="D36" s="12">
        <v>1.0</v>
      </c>
      <c r="E36" s="9" t="s">
        <v>47</v>
      </c>
      <c r="F36" s="16">
        <v>55.0</v>
      </c>
      <c r="G36" s="19">
        <v>0.0</v>
      </c>
      <c r="H36" s="16">
        <f t="shared" si="1"/>
        <v>55</v>
      </c>
      <c r="I36" s="9"/>
    </row>
    <row r="37" ht="15.75" customHeight="1">
      <c r="A37" s="9" t="s">
        <v>74</v>
      </c>
      <c r="B37" s="9" t="s">
        <v>195</v>
      </c>
      <c r="C37" s="9" t="s">
        <v>196</v>
      </c>
      <c r="D37" s="12">
        <v>1.0</v>
      </c>
      <c r="E37" s="9" t="s">
        <v>47</v>
      </c>
      <c r="F37" s="16">
        <v>220.0</v>
      </c>
      <c r="G37" s="19">
        <v>0.1</v>
      </c>
      <c r="H37" s="16">
        <f t="shared" si="1"/>
        <v>242</v>
      </c>
      <c r="I37" s="9"/>
    </row>
    <row r="38" ht="15.75" customHeight="1">
      <c r="A38" s="9" t="s">
        <v>74</v>
      </c>
      <c r="B38" s="9" t="s">
        <v>198</v>
      </c>
      <c r="C38" s="9" t="s">
        <v>199</v>
      </c>
      <c r="D38" s="12">
        <v>1.0</v>
      </c>
      <c r="E38" s="9" t="s">
        <v>47</v>
      </c>
      <c r="F38" s="16">
        <v>120.0</v>
      </c>
      <c r="G38" s="19">
        <v>0.0</v>
      </c>
      <c r="H38" s="16">
        <f t="shared" si="1"/>
        <v>120</v>
      </c>
      <c r="I38" s="9" t="s">
        <v>201</v>
      </c>
    </row>
    <row r="39" ht="15.75" customHeight="1">
      <c r="A39" s="9" t="s">
        <v>74</v>
      </c>
      <c r="B39" s="9" t="s">
        <v>202</v>
      </c>
      <c r="C39" s="9" t="s">
        <v>203</v>
      </c>
      <c r="D39" s="12">
        <v>1.0</v>
      </c>
      <c r="E39" s="9" t="s">
        <v>47</v>
      </c>
      <c r="F39" s="16">
        <v>45.0</v>
      </c>
      <c r="G39" s="19">
        <v>0.0</v>
      </c>
      <c r="H39" s="16">
        <f t="shared" si="1"/>
        <v>45</v>
      </c>
      <c r="I39" s="9"/>
    </row>
    <row r="40" ht="15.75" customHeight="1">
      <c r="A40" s="9" t="s">
        <v>82</v>
      </c>
      <c r="B40" s="9" t="s">
        <v>205</v>
      </c>
      <c r="C40" s="9" t="s">
        <v>206</v>
      </c>
      <c r="D40" s="12">
        <v>1.0</v>
      </c>
      <c r="E40" s="9" t="s">
        <v>47</v>
      </c>
      <c r="F40" s="16">
        <v>180.0</v>
      </c>
      <c r="G40" s="19">
        <v>0.0</v>
      </c>
      <c r="H40" s="16">
        <f t="shared" si="1"/>
        <v>180</v>
      </c>
      <c r="I40" s="9"/>
    </row>
    <row r="41" ht="15.75" customHeight="1">
      <c r="A41" s="9" t="s">
        <v>82</v>
      </c>
      <c r="B41" s="9" t="s">
        <v>208</v>
      </c>
      <c r="C41" s="9" t="s">
        <v>209</v>
      </c>
      <c r="D41" s="12">
        <v>1.0</v>
      </c>
      <c r="E41" s="9" t="s">
        <v>47</v>
      </c>
      <c r="F41" s="16">
        <v>95.0</v>
      </c>
      <c r="G41" s="19">
        <v>0.0</v>
      </c>
      <c r="H41" s="16">
        <f t="shared" si="1"/>
        <v>95</v>
      </c>
      <c r="I41" s="9"/>
    </row>
    <row r="42" ht="15.75" customHeight="1">
      <c r="A42" s="9" t="s">
        <v>82</v>
      </c>
      <c r="B42" s="9" t="s">
        <v>210</v>
      </c>
      <c r="C42" s="9" t="s">
        <v>211</v>
      </c>
      <c r="D42" s="12">
        <v>600.0</v>
      </c>
      <c r="E42" s="9" t="s">
        <v>93</v>
      </c>
      <c r="F42" s="16">
        <v>0.38</v>
      </c>
      <c r="G42" s="19">
        <v>0.1</v>
      </c>
      <c r="H42" s="16">
        <f t="shared" si="1"/>
        <v>250.8</v>
      </c>
      <c r="I42" s="9"/>
    </row>
    <row r="43" ht="15.75" customHeight="1">
      <c r="A43" s="9" t="s">
        <v>82</v>
      </c>
      <c r="B43" s="9" t="s">
        <v>212</v>
      </c>
      <c r="C43" s="9" t="s">
        <v>213</v>
      </c>
      <c r="D43" s="12">
        <v>200.0</v>
      </c>
      <c r="E43" s="9" t="s">
        <v>93</v>
      </c>
      <c r="F43" s="16">
        <v>0.55</v>
      </c>
      <c r="G43" s="19">
        <v>0.1</v>
      </c>
      <c r="H43" s="16">
        <f t="shared" si="1"/>
        <v>121</v>
      </c>
      <c r="I43" s="9"/>
    </row>
    <row r="44" ht="15.75" customHeight="1">
      <c r="A44" s="9" t="s">
        <v>82</v>
      </c>
      <c r="B44" s="9" t="s">
        <v>214</v>
      </c>
      <c r="C44" s="9" t="s">
        <v>215</v>
      </c>
      <c r="D44" s="12">
        <v>25.0</v>
      </c>
      <c r="E44" s="9" t="s">
        <v>32</v>
      </c>
      <c r="F44" s="16">
        <v>1.5</v>
      </c>
      <c r="G44" s="19">
        <v>0.05</v>
      </c>
      <c r="H44" s="16">
        <f t="shared" si="1"/>
        <v>39.375</v>
      </c>
      <c r="I44" s="9"/>
    </row>
    <row r="45" ht="15.75" customHeight="1">
      <c r="A45" s="9" t="s">
        <v>82</v>
      </c>
      <c r="B45" s="9" t="s">
        <v>216</v>
      </c>
      <c r="C45" s="9" t="s">
        <v>217</v>
      </c>
      <c r="D45" s="12">
        <v>10.0</v>
      </c>
      <c r="E45" s="9" t="s">
        <v>32</v>
      </c>
      <c r="F45" s="16">
        <v>4.5</v>
      </c>
      <c r="G45" s="19">
        <v>0.05</v>
      </c>
      <c r="H45" s="16">
        <f t="shared" si="1"/>
        <v>47.25</v>
      </c>
      <c r="I45" s="9"/>
    </row>
    <row r="46" ht="15.75" customHeight="1">
      <c r="A46" s="9" t="s">
        <v>82</v>
      </c>
      <c r="B46" s="9" t="s">
        <v>218</v>
      </c>
      <c r="C46" s="9" t="s">
        <v>219</v>
      </c>
      <c r="D46" s="12">
        <v>4.0</v>
      </c>
      <c r="E46" s="9" t="s">
        <v>32</v>
      </c>
      <c r="F46" s="16">
        <v>6.0</v>
      </c>
      <c r="G46" s="19">
        <v>0.05</v>
      </c>
      <c r="H46" s="16">
        <f t="shared" si="1"/>
        <v>25.2</v>
      </c>
      <c r="I46" s="9"/>
    </row>
    <row r="47" ht="15.75" customHeight="1">
      <c r="A47" s="9" t="s">
        <v>82</v>
      </c>
      <c r="B47" s="9" t="s">
        <v>220</v>
      </c>
      <c r="C47" s="9" t="s">
        <v>221</v>
      </c>
      <c r="D47" s="12">
        <v>6.0</v>
      </c>
      <c r="E47" s="9" t="s">
        <v>32</v>
      </c>
      <c r="F47" s="16">
        <v>75.0</v>
      </c>
      <c r="G47" s="19">
        <v>0.0</v>
      </c>
      <c r="H47" s="16">
        <f t="shared" si="1"/>
        <v>450</v>
      </c>
      <c r="I47" s="9" t="s">
        <v>153</v>
      </c>
    </row>
    <row r="48" ht="15.75" customHeight="1">
      <c r="A48" s="9" t="s">
        <v>82</v>
      </c>
      <c r="B48" s="9" t="s">
        <v>222</v>
      </c>
      <c r="C48" s="9" t="s">
        <v>223</v>
      </c>
      <c r="D48" s="12">
        <v>2.0</v>
      </c>
      <c r="E48" s="9" t="s">
        <v>32</v>
      </c>
      <c r="F48" s="16">
        <v>150.0</v>
      </c>
      <c r="G48" s="19">
        <v>0.0</v>
      </c>
      <c r="H48" s="16">
        <f t="shared" si="1"/>
        <v>300</v>
      </c>
      <c r="I48" s="9" t="s">
        <v>153</v>
      </c>
    </row>
    <row r="49" ht="15.75" customHeight="1">
      <c r="A49" s="9" t="s">
        <v>82</v>
      </c>
      <c r="B49" s="9" t="s">
        <v>224</v>
      </c>
      <c r="C49" s="9" t="s">
        <v>225</v>
      </c>
      <c r="D49" s="12">
        <v>1.0</v>
      </c>
      <c r="E49" s="9" t="s">
        <v>47</v>
      </c>
      <c r="F49" s="16">
        <v>35.0</v>
      </c>
      <c r="G49" s="19">
        <v>0.0</v>
      </c>
      <c r="H49" s="16">
        <f t="shared" si="1"/>
        <v>35</v>
      </c>
      <c r="I49" s="9"/>
    </row>
    <row r="50" ht="15.75" customHeight="1">
      <c r="A50" s="9" t="s">
        <v>82</v>
      </c>
      <c r="B50" s="9" t="s">
        <v>226</v>
      </c>
      <c r="C50" s="9" t="s">
        <v>227</v>
      </c>
      <c r="D50" s="12">
        <v>2.0</v>
      </c>
      <c r="E50" s="9" t="s">
        <v>32</v>
      </c>
      <c r="F50" s="16">
        <v>18.0</v>
      </c>
      <c r="G50" s="19">
        <v>0.05</v>
      </c>
      <c r="H50" s="16">
        <f t="shared" si="1"/>
        <v>37.8</v>
      </c>
      <c r="I50" s="9"/>
    </row>
    <row r="51" ht="15.75" customHeight="1">
      <c r="A51" s="9" t="s">
        <v>82</v>
      </c>
      <c r="B51" s="9" t="s">
        <v>228</v>
      </c>
      <c r="C51" s="9" t="s">
        <v>230</v>
      </c>
      <c r="D51" s="12">
        <v>1.0</v>
      </c>
      <c r="E51" s="9" t="s">
        <v>47</v>
      </c>
      <c r="F51" s="16">
        <v>120.0</v>
      </c>
      <c r="G51" s="19">
        <v>0.0</v>
      </c>
      <c r="H51" s="16">
        <f t="shared" si="1"/>
        <v>120</v>
      </c>
      <c r="I51" s="9"/>
    </row>
    <row r="52" ht="15.75" customHeight="1">
      <c r="A52" s="9" t="s">
        <v>87</v>
      </c>
      <c r="B52" s="9" t="s">
        <v>244</v>
      </c>
      <c r="C52" s="9" t="s">
        <v>248</v>
      </c>
      <c r="D52" s="12">
        <v>1.0</v>
      </c>
      <c r="E52" s="9" t="s">
        <v>47</v>
      </c>
      <c r="F52" s="16">
        <v>2500.0</v>
      </c>
      <c r="G52" s="19">
        <v>0.0</v>
      </c>
      <c r="H52" s="16">
        <f t="shared" si="1"/>
        <v>2500</v>
      </c>
      <c r="I52" s="9" t="s">
        <v>277</v>
      </c>
    </row>
    <row r="53" ht="15.75" customHeight="1">
      <c r="A53" s="9" t="s">
        <v>87</v>
      </c>
      <c r="B53" s="9" t="s">
        <v>291</v>
      </c>
      <c r="C53" s="9" t="s">
        <v>298</v>
      </c>
      <c r="D53" s="12">
        <v>1.0</v>
      </c>
      <c r="E53" s="9" t="s">
        <v>47</v>
      </c>
      <c r="F53" s="16">
        <v>45.0</v>
      </c>
      <c r="G53" s="19">
        <v>0.0</v>
      </c>
      <c r="H53" s="16">
        <f t="shared" si="1"/>
        <v>45</v>
      </c>
      <c r="I53" s="9"/>
    </row>
    <row r="54" ht="15.75" customHeight="1">
      <c r="A54" s="9" t="s">
        <v>87</v>
      </c>
      <c r="B54" s="9" t="s">
        <v>309</v>
      </c>
      <c r="C54" s="9" t="s">
        <v>310</v>
      </c>
      <c r="D54" s="12">
        <v>1.0</v>
      </c>
      <c r="E54" s="9" t="s">
        <v>47</v>
      </c>
      <c r="F54" s="16">
        <v>45.0</v>
      </c>
      <c r="G54" s="19">
        <v>0.0</v>
      </c>
      <c r="H54" s="16">
        <f t="shared" si="1"/>
        <v>45</v>
      </c>
      <c r="I54" s="9"/>
    </row>
    <row r="55" ht="15.75" customHeight="1">
      <c r="A55" s="9" t="s">
        <v>87</v>
      </c>
      <c r="B55" s="9" t="s">
        <v>311</v>
      </c>
      <c r="C55" s="9" t="s">
        <v>312</v>
      </c>
      <c r="D55" s="12">
        <v>1.0</v>
      </c>
      <c r="E55" s="9" t="s">
        <v>32</v>
      </c>
      <c r="F55" s="16">
        <v>55.0</v>
      </c>
      <c r="G55" s="19">
        <v>0.0</v>
      </c>
      <c r="H55" s="16">
        <f t="shared" si="1"/>
        <v>55</v>
      </c>
      <c r="I55" s="9"/>
    </row>
    <row r="56" ht="15.75" customHeight="1">
      <c r="A56" s="9" t="s">
        <v>94</v>
      </c>
      <c r="B56" s="9" t="s">
        <v>313</v>
      </c>
      <c r="C56" s="9" t="s">
        <v>314</v>
      </c>
      <c r="D56" s="12">
        <v>504.0</v>
      </c>
      <c r="E56" s="9" t="s">
        <v>121</v>
      </c>
      <c r="F56" s="16">
        <v>0.58</v>
      </c>
      <c r="G56" s="19">
        <v>0.1</v>
      </c>
      <c r="H56" s="16">
        <f t="shared" si="1"/>
        <v>321.552</v>
      </c>
      <c r="I56" s="9"/>
    </row>
    <row r="57" ht="15.75" customHeight="1">
      <c r="A57" s="9" t="s">
        <v>94</v>
      </c>
      <c r="B57" s="9" t="s">
        <v>315</v>
      </c>
      <c r="C57" s="9" t="s">
        <v>316</v>
      </c>
      <c r="D57" s="12">
        <v>1.0</v>
      </c>
      <c r="E57" s="9" t="s">
        <v>47</v>
      </c>
      <c r="F57" s="16">
        <v>35.0</v>
      </c>
      <c r="G57" s="19">
        <v>0.0</v>
      </c>
      <c r="H57" s="16">
        <f t="shared" si="1"/>
        <v>35</v>
      </c>
      <c r="I57" s="9"/>
    </row>
    <row r="58" ht="15.75" customHeight="1">
      <c r="A58" s="9" t="s">
        <v>98</v>
      </c>
      <c r="B58" s="9" t="s">
        <v>317</v>
      </c>
      <c r="C58" s="9" t="s">
        <v>318</v>
      </c>
      <c r="D58" s="12">
        <v>30.0</v>
      </c>
      <c r="E58" s="9" t="s">
        <v>115</v>
      </c>
      <c r="F58" s="16">
        <v>14.5</v>
      </c>
      <c r="G58" s="19">
        <v>0.1</v>
      </c>
      <c r="H58" s="16">
        <f t="shared" si="1"/>
        <v>478.5</v>
      </c>
      <c r="I58" s="9"/>
    </row>
    <row r="59" ht="15.75" customHeight="1">
      <c r="A59" s="9" t="s">
        <v>98</v>
      </c>
      <c r="B59" s="9" t="s">
        <v>322</v>
      </c>
      <c r="C59" s="9" t="s">
        <v>323</v>
      </c>
      <c r="D59" s="12">
        <v>4.0</v>
      </c>
      <c r="E59" s="9" t="s">
        <v>32</v>
      </c>
      <c r="F59" s="16">
        <v>22.0</v>
      </c>
      <c r="G59" s="19">
        <v>0.0</v>
      </c>
      <c r="H59" s="16">
        <f t="shared" si="1"/>
        <v>88</v>
      </c>
      <c r="I59" s="9"/>
    </row>
    <row r="60" ht="15.75" customHeight="1">
      <c r="A60" s="9" t="s">
        <v>98</v>
      </c>
      <c r="B60" s="9" t="s">
        <v>350</v>
      </c>
      <c r="C60" s="9" t="s">
        <v>353</v>
      </c>
      <c r="D60" s="12">
        <v>6.0</v>
      </c>
      <c r="E60" s="9" t="s">
        <v>356</v>
      </c>
      <c r="F60" s="16">
        <v>6.0</v>
      </c>
      <c r="G60" s="19">
        <v>0.0</v>
      </c>
      <c r="H60" s="16">
        <f t="shared" si="1"/>
        <v>36</v>
      </c>
      <c r="I60" s="9"/>
    </row>
    <row r="61" ht="15.75" customHeight="1">
      <c r="A61" s="9" t="s">
        <v>98</v>
      </c>
      <c r="B61" s="9" t="s">
        <v>357</v>
      </c>
      <c r="C61" s="9" t="s">
        <v>358</v>
      </c>
      <c r="D61" s="12">
        <v>1.0</v>
      </c>
      <c r="E61" s="9" t="s">
        <v>47</v>
      </c>
      <c r="F61" s="16">
        <v>35.0</v>
      </c>
      <c r="G61" s="19">
        <v>0.0</v>
      </c>
      <c r="H61" s="16">
        <f t="shared" si="1"/>
        <v>35</v>
      </c>
      <c r="I61" s="9"/>
    </row>
    <row r="62" ht="15.75" customHeight="1">
      <c r="A62" s="9" t="s">
        <v>98</v>
      </c>
      <c r="B62" s="9" t="s">
        <v>359</v>
      </c>
      <c r="C62" s="9" t="s">
        <v>360</v>
      </c>
      <c r="D62" s="12">
        <v>4.0</v>
      </c>
      <c r="E62" s="9" t="s">
        <v>361</v>
      </c>
      <c r="F62" s="16">
        <v>16.0</v>
      </c>
      <c r="G62" s="19">
        <v>0.0</v>
      </c>
      <c r="H62" s="16">
        <f t="shared" si="1"/>
        <v>64</v>
      </c>
      <c r="I62" s="9"/>
    </row>
    <row r="63" ht="15.75" customHeight="1">
      <c r="A63" s="9" t="s">
        <v>102</v>
      </c>
      <c r="B63" s="9" t="s">
        <v>363</v>
      </c>
      <c r="C63" s="9" t="s">
        <v>365</v>
      </c>
      <c r="D63" s="12">
        <v>1.0</v>
      </c>
      <c r="E63" s="9" t="s">
        <v>47</v>
      </c>
      <c r="F63" s="16">
        <v>45.0</v>
      </c>
      <c r="G63" s="19">
        <v>0.0</v>
      </c>
      <c r="H63" s="16">
        <f t="shared" si="1"/>
        <v>45</v>
      </c>
      <c r="I63" s="9"/>
    </row>
    <row r="64" ht="15.75" customHeight="1">
      <c r="A64" s="9" t="s">
        <v>105</v>
      </c>
      <c r="B64" s="9" t="s">
        <v>105</v>
      </c>
      <c r="C64" s="9" t="s">
        <v>105</v>
      </c>
      <c r="D64" s="12">
        <v>1.0</v>
      </c>
      <c r="E64" s="9" t="s">
        <v>47</v>
      </c>
      <c r="F64" s="16">
        <v>0.0</v>
      </c>
      <c r="G64" s="19">
        <v>0.0</v>
      </c>
      <c r="H64" s="16">
        <f t="shared" si="1"/>
        <v>0</v>
      </c>
      <c r="I64" s="9"/>
    </row>
    <row r="65" ht="15.75" customHeight="1">
      <c r="A65" s="9" t="s">
        <v>105</v>
      </c>
      <c r="B65" s="9" t="s">
        <v>105</v>
      </c>
      <c r="C65" s="9" t="s">
        <v>105</v>
      </c>
      <c r="D65" s="12">
        <v>1.0</v>
      </c>
      <c r="E65" s="9" t="s">
        <v>47</v>
      </c>
      <c r="F65" s="16">
        <v>0.0</v>
      </c>
      <c r="G65" s="19">
        <v>0.0</v>
      </c>
      <c r="H65" s="16">
        <f t="shared" si="1"/>
        <v>0</v>
      </c>
      <c r="I65" s="9"/>
    </row>
    <row r="66" ht="15.75" customHeight="1">
      <c r="A66" s="9" t="s">
        <v>105</v>
      </c>
      <c r="B66" s="9" t="s">
        <v>105</v>
      </c>
      <c r="C66" s="9" t="s">
        <v>105</v>
      </c>
      <c r="D66" s="12">
        <v>1.0</v>
      </c>
      <c r="E66" s="9" t="s">
        <v>47</v>
      </c>
      <c r="F66" s="16">
        <v>0.0</v>
      </c>
      <c r="G66" s="19">
        <v>0.0</v>
      </c>
      <c r="H66" s="16">
        <f t="shared" si="1"/>
        <v>0</v>
      </c>
      <c r="I66" s="9"/>
    </row>
    <row r="67" ht="15.75" customHeight="1">
      <c r="A67" s="9" t="s">
        <v>105</v>
      </c>
      <c r="B67" s="9" t="s">
        <v>105</v>
      </c>
      <c r="C67" s="9" t="s">
        <v>105</v>
      </c>
      <c r="D67" s="12">
        <v>1.0</v>
      </c>
      <c r="E67" s="9" t="s">
        <v>47</v>
      </c>
      <c r="F67" s="16">
        <v>0.0</v>
      </c>
      <c r="G67" s="19">
        <v>0.0</v>
      </c>
      <c r="H67" s="16">
        <f t="shared" si="1"/>
        <v>0</v>
      </c>
      <c r="I67" s="9"/>
    </row>
    <row r="68" ht="15.75" customHeight="1">
      <c r="A68" s="9"/>
      <c r="B68" s="9"/>
      <c r="C68" s="9"/>
      <c r="D68" s="12"/>
      <c r="E68" s="9"/>
      <c r="F68" s="16"/>
      <c r="G68" s="19"/>
      <c r="H68" s="16" t="str">
        <f t="shared" ref="H68:H400" si="2">IF(OR($A68="",$D68="",$F68=""),"",$D68*$F68*(1+$G68))</f>
        <v/>
      </c>
      <c r="I68" s="9"/>
    </row>
    <row r="69" ht="15.75" customHeight="1">
      <c r="A69" s="9"/>
      <c r="B69" s="9"/>
      <c r="C69" s="9"/>
      <c r="D69" s="12"/>
      <c r="E69" s="9"/>
      <c r="F69" s="16"/>
      <c r="G69" s="19"/>
      <c r="H69" s="16" t="str">
        <f t="shared" si="2"/>
        <v/>
      </c>
      <c r="I69" s="9"/>
    </row>
    <row r="70" ht="15.75" customHeight="1">
      <c r="A70" s="9"/>
      <c r="B70" s="9"/>
      <c r="C70" s="9"/>
      <c r="D70" s="12"/>
      <c r="E70" s="9"/>
      <c r="F70" s="16"/>
      <c r="G70" s="19"/>
      <c r="H70" s="16" t="str">
        <f t="shared" si="2"/>
        <v/>
      </c>
      <c r="I70" s="9"/>
    </row>
    <row r="71" ht="15.75" customHeight="1">
      <c r="A71" s="9"/>
      <c r="B71" s="9"/>
      <c r="C71" s="9"/>
      <c r="D71" s="12"/>
      <c r="E71" s="9"/>
      <c r="F71" s="16"/>
      <c r="G71" s="19"/>
      <c r="H71" s="16" t="str">
        <f t="shared" si="2"/>
        <v/>
      </c>
      <c r="I71" s="9"/>
    </row>
    <row r="72" ht="15.75" customHeight="1">
      <c r="A72" s="9"/>
      <c r="B72" s="9"/>
      <c r="C72" s="9"/>
      <c r="D72" s="12"/>
      <c r="E72" s="9"/>
      <c r="F72" s="16"/>
      <c r="G72" s="19"/>
      <c r="H72" s="16" t="str">
        <f t="shared" si="2"/>
        <v/>
      </c>
      <c r="I72" s="9"/>
    </row>
    <row r="73" ht="15.75" customHeight="1">
      <c r="A73" s="9"/>
      <c r="B73" s="9"/>
      <c r="C73" s="9"/>
      <c r="D73" s="12"/>
      <c r="E73" s="9"/>
      <c r="F73" s="16"/>
      <c r="G73" s="19"/>
      <c r="H73" s="16" t="str">
        <f t="shared" si="2"/>
        <v/>
      </c>
      <c r="I73" s="9"/>
    </row>
    <row r="74" ht="15.75" customHeight="1">
      <c r="A74" s="9"/>
      <c r="B74" s="9"/>
      <c r="C74" s="9"/>
      <c r="D74" s="12"/>
      <c r="E74" s="9"/>
      <c r="F74" s="16"/>
      <c r="G74" s="19"/>
      <c r="H74" s="16" t="str">
        <f t="shared" si="2"/>
        <v/>
      </c>
      <c r="I74" s="9"/>
    </row>
    <row r="75" ht="15.75" customHeight="1">
      <c r="A75" s="9"/>
      <c r="B75" s="9"/>
      <c r="C75" s="9"/>
      <c r="D75" s="12"/>
      <c r="E75" s="9"/>
      <c r="F75" s="16"/>
      <c r="G75" s="19"/>
      <c r="H75" s="16" t="str">
        <f t="shared" si="2"/>
        <v/>
      </c>
      <c r="I75" s="9"/>
    </row>
    <row r="76" ht="15.75" customHeight="1">
      <c r="A76" s="9"/>
      <c r="B76" s="9"/>
      <c r="C76" s="9"/>
      <c r="D76" s="12"/>
      <c r="E76" s="9"/>
      <c r="F76" s="16"/>
      <c r="G76" s="19"/>
      <c r="H76" s="16" t="str">
        <f t="shared" si="2"/>
        <v/>
      </c>
      <c r="I76" s="9"/>
    </row>
    <row r="77" ht="15.75" customHeight="1">
      <c r="A77" s="9"/>
      <c r="B77" s="9"/>
      <c r="C77" s="9"/>
      <c r="D77" s="12"/>
      <c r="E77" s="9"/>
      <c r="F77" s="16"/>
      <c r="G77" s="19"/>
      <c r="H77" s="16" t="str">
        <f t="shared" si="2"/>
        <v/>
      </c>
      <c r="I77" s="9"/>
    </row>
    <row r="78" ht="15.75" customHeight="1">
      <c r="A78" s="9"/>
      <c r="B78" s="9"/>
      <c r="C78" s="9"/>
      <c r="D78" s="12"/>
      <c r="E78" s="9"/>
      <c r="F78" s="16"/>
      <c r="G78" s="19"/>
      <c r="H78" s="16" t="str">
        <f t="shared" si="2"/>
        <v/>
      </c>
      <c r="I78" s="9"/>
    </row>
    <row r="79" ht="15.75" customHeight="1">
      <c r="A79" s="9"/>
      <c r="B79" s="9"/>
      <c r="C79" s="9"/>
      <c r="D79" s="12"/>
      <c r="E79" s="9"/>
      <c r="F79" s="16"/>
      <c r="G79" s="19"/>
      <c r="H79" s="16" t="str">
        <f t="shared" si="2"/>
        <v/>
      </c>
      <c r="I79" s="9"/>
    </row>
    <row r="80" ht="15.75" customHeight="1">
      <c r="A80" s="9"/>
      <c r="B80" s="9"/>
      <c r="C80" s="9"/>
      <c r="D80" s="12"/>
      <c r="E80" s="9"/>
      <c r="F80" s="16"/>
      <c r="G80" s="19"/>
      <c r="H80" s="16" t="str">
        <f t="shared" si="2"/>
        <v/>
      </c>
      <c r="I80" s="9"/>
    </row>
    <row r="81" ht="15.75" customHeight="1">
      <c r="A81" s="9"/>
      <c r="B81" s="9"/>
      <c r="C81" s="9"/>
      <c r="D81" s="12"/>
      <c r="E81" s="9"/>
      <c r="F81" s="16"/>
      <c r="G81" s="19"/>
      <c r="H81" s="16" t="str">
        <f t="shared" si="2"/>
        <v/>
      </c>
      <c r="I81" s="9"/>
    </row>
    <row r="82" ht="15.75" customHeight="1">
      <c r="A82" s="9"/>
      <c r="B82" s="9"/>
      <c r="C82" s="9"/>
      <c r="D82" s="12"/>
      <c r="E82" s="9"/>
      <c r="F82" s="16"/>
      <c r="G82" s="19"/>
      <c r="H82" s="16" t="str">
        <f t="shared" si="2"/>
        <v/>
      </c>
      <c r="I82" s="9"/>
    </row>
    <row r="83" ht="15.75" customHeight="1">
      <c r="A83" s="9"/>
      <c r="B83" s="9"/>
      <c r="C83" s="9"/>
      <c r="D83" s="12"/>
      <c r="E83" s="9"/>
      <c r="F83" s="16"/>
      <c r="G83" s="19"/>
      <c r="H83" s="16" t="str">
        <f t="shared" si="2"/>
        <v/>
      </c>
      <c r="I83" s="9"/>
    </row>
    <row r="84" ht="15.75" customHeight="1">
      <c r="A84" s="9"/>
      <c r="B84" s="9"/>
      <c r="C84" s="9"/>
      <c r="D84" s="12"/>
      <c r="E84" s="9"/>
      <c r="F84" s="16"/>
      <c r="G84" s="19"/>
      <c r="H84" s="16" t="str">
        <f t="shared" si="2"/>
        <v/>
      </c>
      <c r="I84" s="9"/>
    </row>
    <row r="85" ht="15.75" customHeight="1">
      <c r="A85" s="9"/>
      <c r="B85" s="9"/>
      <c r="C85" s="9"/>
      <c r="D85" s="12"/>
      <c r="E85" s="9"/>
      <c r="F85" s="16"/>
      <c r="G85" s="19"/>
      <c r="H85" s="16" t="str">
        <f t="shared" si="2"/>
        <v/>
      </c>
      <c r="I85" s="9"/>
    </row>
    <row r="86" ht="15.75" customHeight="1">
      <c r="A86" s="20"/>
      <c r="B86" s="20"/>
      <c r="C86" s="20"/>
      <c r="D86" s="21"/>
      <c r="E86" s="20"/>
      <c r="F86" s="22"/>
      <c r="G86" s="30"/>
      <c r="H86" s="22" t="str">
        <f t="shared" si="2"/>
        <v/>
      </c>
      <c r="I86" s="20"/>
    </row>
    <row r="87" ht="15.75" customHeight="1">
      <c r="A87" s="23"/>
      <c r="E87" s="23"/>
      <c r="H87" s="23" t="str">
        <f t="shared" si="2"/>
        <v/>
      </c>
    </row>
    <row r="88" ht="15.75" customHeight="1">
      <c r="A88" s="23"/>
      <c r="E88" s="23"/>
      <c r="H88" s="23" t="str">
        <f t="shared" si="2"/>
        <v/>
      </c>
    </row>
    <row r="89" ht="15.75" customHeight="1">
      <c r="A89" s="23"/>
      <c r="E89" s="23"/>
      <c r="H89" s="23" t="str">
        <f t="shared" si="2"/>
        <v/>
      </c>
    </row>
    <row r="90" ht="15.75" customHeight="1">
      <c r="A90" s="23"/>
      <c r="E90" s="23"/>
      <c r="H90" s="23" t="str">
        <f t="shared" si="2"/>
        <v/>
      </c>
    </row>
    <row r="91" ht="15.75" customHeight="1">
      <c r="A91" s="23"/>
      <c r="E91" s="23"/>
      <c r="H91" s="23" t="str">
        <f t="shared" si="2"/>
        <v/>
      </c>
    </row>
    <row r="92" ht="15.75" customHeight="1">
      <c r="A92" s="23"/>
      <c r="E92" s="23"/>
      <c r="H92" s="23" t="str">
        <f t="shared" si="2"/>
        <v/>
      </c>
    </row>
    <row r="93" ht="15.75" customHeight="1">
      <c r="A93" s="23"/>
      <c r="E93" s="23"/>
      <c r="H93" s="23" t="str">
        <f t="shared" si="2"/>
        <v/>
      </c>
    </row>
    <row r="94" ht="15.75" customHeight="1">
      <c r="A94" s="23"/>
      <c r="E94" s="23"/>
      <c r="H94" s="23" t="str">
        <f t="shared" si="2"/>
        <v/>
      </c>
    </row>
    <row r="95" ht="15.75" customHeight="1">
      <c r="A95" s="23"/>
      <c r="E95" s="23"/>
      <c r="H95" s="23" t="str">
        <f t="shared" si="2"/>
        <v/>
      </c>
    </row>
    <row r="96" ht="15.75" customHeight="1">
      <c r="A96" s="23"/>
      <c r="E96" s="23"/>
      <c r="H96" s="23" t="str">
        <f t="shared" si="2"/>
        <v/>
      </c>
    </row>
    <row r="97" ht="15.75" customHeight="1">
      <c r="A97" s="23"/>
      <c r="E97" s="23"/>
      <c r="H97" s="23" t="str">
        <f t="shared" si="2"/>
        <v/>
      </c>
    </row>
    <row r="98" ht="15.75" customHeight="1">
      <c r="A98" s="23"/>
      <c r="E98" s="23"/>
      <c r="H98" s="23" t="str">
        <f t="shared" si="2"/>
        <v/>
      </c>
    </row>
    <row r="99" ht="15.75" customHeight="1">
      <c r="A99" s="23"/>
      <c r="E99" s="23"/>
      <c r="H99" s="23" t="str">
        <f t="shared" si="2"/>
        <v/>
      </c>
    </row>
    <row r="100" ht="15.75" customHeight="1">
      <c r="A100" s="23"/>
      <c r="E100" s="23"/>
      <c r="H100" s="23" t="str">
        <f t="shared" si="2"/>
        <v/>
      </c>
    </row>
    <row r="101" ht="15.75" customHeight="1">
      <c r="A101" s="23"/>
      <c r="E101" s="23"/>
      <c r="H101" s="23" t="str">
        <f t="shared" si="2"/>
        <v/>
      </c>
    </row>
    <row r="102" ht="15.75" customHeight="1">
      <c r="A102" s="23"/>
      <c r="E102" s="23"/>
      <c r="H102" s="23" t="str">
        <f t="shared" si="2"/>
        <v/>
      </c>
    </row>
    <row r="103" ht="15.75" customHeight="1">
      <c r="A103" s="23"/>
      <c r="E103" s="23"/>
      <c r="H103" s="23" t="str">
        <f t="shared" si="2"/>
        <v/>
      </c>
    </row>
    <row r="104" ht="15.75" customHeight="1">
      <c r="A104" s="23"/>
      <c r="E104" s="23"/>
      <c r="H104" s="23" t="str">
        <f t="shared" si="2"/>
        <v/>
      </c>
    </row>
    <row r="105" ht="15.75" customHeight="1">
      <c r="A105" s="23"/>
      <c r="E105" s="23"/>
      <c r="H105" s="23" t="str">
        <f t="shared" si="2"/>
        <v/>
      </c>
    </row>
    <row r="106" ht="15.75" customHeight="1">
      <c r="A106" s="23"/>
      <c r="E106" s="23"/>
      <c r="H106" s="23" t="str">
        <f t="shared" si="2"/>
        <v/>
      </c>
    </row>
    <row r="107" ht="15.75" customHeight="1">
      <c r="A107" s="23"/>
      <c r="E107" s="23"/>
      <c r="H107" s="23" t="str">
        <f t="shared" si="2"/>
        <v/>
      </c>
    </row>
    <row r="108" ht="15.75" customHeight="1">
      <c r="A108" s="23"/>
      <c r="E108" s="23"/>
      <c r="H108" s="23" t="str">
        <f t="shared" si="2"/>
        <v/>
      </c>
    </row>
    <row r="109" ht="15.75" customHeight="1">
      <c r="A109" s="23"/>
      <c r="E109" s="23"/>
      <c r="H109" s="23" t="str">
        <f t="shared" si="2"/>
        <v/>
      </c>
    </row>
    <row r="110" ht="15.75" customHeight="1">
      <c r="A110" s="23"/>
      <c r="E110" s="23"/>
      <c r="H110" s="23" t="str">
        <f t="shared" si="2"/>
        <v/>
      </c>
    </row>
    <row r="111" ht="15.75" customHeight="1">
      <c r="A111" s="23"/>
      <c r="E111" s="23"/>
      <c r="H111" s="23" t="str">
        <f t="shared" si="2"/>
        <v/>
      </c>
    </row>
    <row r="112" ht="15.75" customHeight="1">
      <c r="A112" s="23"/>
      <c r="E112" s="23"/>
      <c r="H112" s="23" t="str">
        <f t="shared" si="2"/>
        <v/>
      </c>
    </row>
    <row r="113" ht="15.75" customHeight="1">
      <c r="A113" s="23"/>
      <c r="E113" s="23"/>
      <c r="H113" s="23" t="str">
        <f t="shared" si="2"/>
        <v/>
      </c>
    </row>
    <row r="114" ht="15.75" customHeight="1">
      <c r="A114" s="23"/>
      <c r="E114" s="23"/>
      <c r="H114" s="23" t="str">
        <f t="shared" si="2"/>
        <v/>
      </c>
    </row>
    <row r="115" ht="15.75" customHeight="1">
      <c r="A115" s="23"/>
      <c r="E115" s="23"/>
      <c r="H115" s="23" t="str">
        <f t="shared" si="2"/>
        <v/>
      </c>
    </row>
    <row r="116" ht="15.75" customHeight="1">
      <c r="A116" s="23"/>
      <c r="E116" s="23"/>
      <c r="H116" s="23" t="str">
        <f t="shared" si="2"/>
        <v/>
      </c>
    </row>
    <row r="117" ht="15.75" customHeight="1">
      <c r="A117" s="23"/>
      <c r="E117" s="23"/>
      <c r="H117" s="23" t="str">
        <f t="shared" si="2"/>
        <v/>
      </c>
    </row>
    <row r="118" ht="15.75" customHeight="1">
      <c r="A118" s="23"/>
      <c r="E118" s="23"/>
      <c r="H118" s="23" t="str">
        <f t="shared" si="2"/>
        <v/>
      </c>
    </row>
    <row r="119" ht="15.75" customHeight="1">
      <c r="A119" s="23"/>
      <c r="E119" s="23"/>
      <c r="H119" s="23" t="str">
        <f t="shared" si="2"/>
        <v/>
      </c>
    </row>
    <row r="120" ht="15.75" customHeight="1">
      <c r="A120" s="23"/>
      <c r="E120" s="23"/>
      <c r="H120" s="23" t="str">
        <f t="shared" si="2"/>
        <v/>
      </c>
    </row>
    <row r="121" ht="15.75" customHeight="1">
      <c r="A121" s="23"/>
      <c r="E121" s="23"/>
      <c r="H121" s="23" t="str">
        <f t="shared" si="2"/>
        <v/>
      </c>
    </row>
    <row r="122" ht="15.75" customHeight="1">
      <c r="A122" s="23"/>
      <c r="E122" s="23"/>
      <c r="H122" s="23" t="str">
        <f t="shared" si="2"/>
        <v/>
      </c>
    </row>
    <row r="123" ht="15.75" customHeight="1">
      <c r="A123" s="23"/>
      <c r="E123" s="23"/>
      <c r="H123" s="23" t="str">
        <f t="shared" si="2"/>
        <v/>
      </c>
    </row>
    <row r="124" ht="15.75" customHeight="1">
      <c r="A124" s="23"/>
      <c r="E124" s="23"/>
      <c r="H124" s="23" t="str">
        <f t="shared" si="2"/>
        <v/>
      </c>
    </row>
    <row r="125" ht="15.75" customHeight="1">
      <c r="A125" s="23"/>
      <c r="E125" s="23"/>
      <c r="H125" s="23" t="str">
        <f t="shared" si="2"/>
        <v/>
      </c>
    </row>
    <row r="126" ht="15.75" customHeight="1">
      <c r="A126" s="23"/>
      <c r="E126" s="23"/>
      <c r="H126" s="23" t="str">
        <f t="shared" si="2"/>
        <v/>
      </c>
    </row>
    <row r="127" ht="15.75" customHeight="1">
      <c r="A127" s="23"/>
      <c r="E127" s="23"/>
      <c r="H127" s="23" t="str">
        <f t="shared" si="2"/>
        <v/>
      </c>
    </row>
    <row r="128" ht="15.75" customHeight="1">
      <c r="A128" s="23"/>
      <c r="E128" s="23"/>
      <c r="H128" s="23" t="str">
        <f t="shared" si="2"/>
        <v/>
      </c>
    </row>
    <row r="129" ht="15.75" customHeight="1">
      <c r="A129" s="23"/>
      <c r="E129" s="23"/>
      <c r="H129" s="23" t="str">
        <f t="shared" si="2"/>
        <v/>
      </c>
    </row>
    <row r="130" ht="15.75" customHeight="1">
      <c r="A130" s="23"/>
      <c r="E130" s="23"/>
      <c r="H130" s="23" t="str">
        <f t="shared" si="2"/>
        <v/>
      </c>
    </row>
    <row r="131" ht="15.75" customHeight="1">
      <c r="A131" s="23"/>
      <c r="E131" s="23"/>
      <c r="H131" s="23" t="str">
        <f t="shared" si="2"/>
        <v/>
      </c>
    </row>
    <row r="132" ht="15.75" customHeight="1">
      <c r="A132" s="23"/>
      <c r="E132" s="23"/>
      <c r="H132" s="23" t="str">
        <f t="shared" si="2"/>
        <v/>
      </c>
    </row>
    <row r="133" ht="15.75" customHeight="1">
      <c r="A133" s="23"/>
      <c r="E133" s="23"/>
      <c r="H133" s="23" t="str">
        <f t="shared" si="2"/>
        <v/>
      </c>
    </row>
    <row r="134" ht="15.75" customHeight="1">
      <c r="A134" s="23"/>
      <c r="E134" s="23"/>
      <c r="H134" s="23" t="str">
        <f t="shared" si="2"/>
        <v/>
      </c>
    </row>
    <row r="135" ht="15.75" customHeight="1">
      <c r="A135" s="23"/>
      <c r="E135" s="23"/>
      <c r="H135" s="23" t="str">
        <f t="shared" si="2"/>
        <v/>
      </c>
    </row>
    <row r="136" ht="15.75" customHeight="1">
      <c r="A136" s="23"/>
      <c r="E136" s="23"/>
      <c r="H136" s="23" t="str">
        <f t="shared" si="2"/>
        <v/>
      </c>
    </row>
    <row r="137" ht="15.75" customHeight="1">
      <c r="A137" s="23"/>
      <c r="E137" s="23"/>
      <c r="H137" s="23" t="str">
        <f t="shared" si="2"/>
        <v/>
      </c>
    </row>
    <row r="138" ht="15.75" customHeight="1">
      <c r="A138" s="23"/>
      <c r="E138" s="23"/>
      <c r="H138" s="23" t="str">
        <f t="shared" si="2"/>
        <v/>
      </c>
    </row>
    <row r="139" ht="15.75" customHeight="1">
      <c r="A139" s="23"/>
      <c r="E139" s="23"/>
      <c r="H139" s="23" t="str">
        <f t="shared" si="2"/>
        <v/>
      </c>
    </row>
    <row r="140" ht="15.75" customHeight="1">
      <c r="A140" s="23"/>
      <c r="E140" s="23"/>
      <c r="H140" s="23" t="str">
        <f t="shared" si="2"/>
        <v/>
      </c>
    </row>
    <row r="141" ht="15.75" customHeight="1">
      <c r="A141" s="23"/>
      <c r="E141" s="23"/>
      <c r="H141" s="23" t="str">
        <f t="shared" si="2"/>
        <v/>
      </c>
    </row>
    <row r="142" ht="15.75" customHeight="1">
      <c r="A142" s="23"/>
      <c r="E142" s="23"/>
      <c r="H142" s="23" t="str">
        <f t="shared" si="2"/>
        <v/>
      </c>
    </row>
    <row r="143" ht="15.75" customHeight="1">
      <c r="A143" s="23"/>
      <c r="E143" s="23"/>
      <c r="H143" s="23" t="str">
        <f t="shared" si="2"/>
        <v/>
      </c>
    </row>
    <row r="144" ht="15.75" customHeight="1">
      <c r="A144" s="23"/>
      <c r="E144" s="23"/>
      <c r="H144" s="23" t="str">
        <f t="shared" si="2"/>
        <v/>
      </c>
    </row>
    <row r="145" ht="15.75" customHeight="1">
      <c r="A145" s="23"/>
      <c r="E145" s="23"/>
      <c r="H145" s="23" t="str">
        <f t="shared" si="2"/>
        <v/>
      </c>
    </row>
    <row r="146" ht="15.75" customHeight="1">
      <c r="A146" s="23"/>
      <c r="E146" s="23"/>
      <c r="H146" s="23" t="str">
        <f t="shared" si="2"/>
        <v/>
      </c>
    </row>
    <row r="147" ht="15.75" customHeight="1">
      <c r="A147" s="23"/>
      <c r="E147" s="23"/>
      <c r="H147" s="23" t="str">
        <f t="shared" si="2"/>
        <v/>
      </c>
    </row>
    <row r="148" ht="15.75" customHeight="1">
      <c r="A148" s="23"/>
      <c r="E148" s="23"/>
      <c r="H148" s="23" t="str">
        <f t="shared" si="2"/>
        <v/>
      </c>
    </row>
    <row r="149" ht="15.75" customHeight="1">
      <c r="A149" s="23"/>
      <c r="E149" s="23"/>
      <c r="H149" s="23" t="str">
        <f t="shared" si="2"/>
        <v/>
      </c>
    </row>
    <row r="150" ht="15.75" customHeight="1">
      <c r="A150" s="23"/>
      <c r="E150" s="23"/>
      <c r="H150" s="23" t="str">
        <f t="shared" si="2"/>
        <v/>
      </c>
    </row>
    <row r="151" ht="15.75" customHeight="1">
      <c r="A151" s="23"/>
      <c r="E151" s="23"/>
      <c r="H151" s="23" t="str">
        <f t="shared" si="2"/>
        <v/>
      </c>
    </row>
    <row r="152" ht="15.75" customHeight="1">
      <c r="A152" s="23"/>
      <c r="E152" s="23"/>
      <c r="H152" s="23" t="str">
        <f t="shared" si="2"/>
        <v/>
      </c>
    </row>
    <row r="153" ht="15.75" customHeight="1">
      <c r="A153" s="23"/>
      <c r="E153" s="23"/>
      <c r="H153" s="23" t="str">
        <f t="shared" si="2"/>
        <v/>
      </c>
    </row>
    <row r="154" ht="15.75" customHeight="1">
      <c r="A154" s="23"/>
      <c r="E154" s="23"/>
      <c r="H154" s="23" t="str">
        <f t="shared" si="2"/>
        <v/>
      </c>
    </row>
    <row r="155" ht="15.75" customHeight="1">
      <c r="A155" s="23"/>
      <c r="E155" s="23"/>
      <c r="H155" s="23" t="str">
        <f t="shared" si="2"/>
        <v/>
      </c>
    </row>
    <row r="156" ht="15.75" customHeight="1">
      <c r="A156" s="23"/>
      <c r="E156" s="23"/>
      <c r="H156" s="23" t="str">
        <f t="shared" si="2"/>
        <v/>
      </c>
    </row>
    <row r="157" ht="15.75" customHeight="1">
      <c r="A157" s="23"/>
      <c r="E157" s="23"/>
      <c r="H157" s="23" t="str">
        <f t="shared" si="2"/>
        <v/>
      </c>
    </row>
    <row r="158" ht="15.75" customHeight="1">
      <c r="A158" s="23"/>
      <c r="E158" s="23"/>
      <c r="H158" s="23" t="str">
        <f t="shared" si="2"/>
        <v/>
      </c>
    </row>
    <row r="159" ht="15.75" customHeight="1">
      <c r="A159" s="23"/>
      <c r="E159" s="23"/>
      <c r="H159" s="23" t="str">
        <f t="shared" si="2"/>
        <v/>
      </c>
    </row>
    <row r="160" ht="15.75" customHeight="1">
      <c r="A160" s="23"/>
      <c r="E160" s="23"/>
      <c r="H160" s="23" t="str">
        <f t="shared" si="2"/>
        <v/>
      </c>
    </row>
    <row r="161" ht="15.75" customHeight="1">
      <c r="A161" s="23"/>
      <c r="E161" s="23"/>
      <c r="H161" s="23" t="str">
        <f t="shared" si="2"/>
        <v/>
      </c>
    </row>
    <row r="162" ht="15.75" customHeight="1">
      <c r="A162" s="23"/>
      <c r="E162" s="23"/>
      <c r="H162" s="23" t="str">
        <f t="shared" si="2"/>
        <v/>
      </c>
    </row>
    <row r="163" ht="15.75" customHeight="1">
      <c r="A163" s="23"/>
      <c r="E163" s="23"/>
      <c r="H163" s="23" t="str">
        <f t="shared" si="2"/>
        <v/>
      </c>
    </row>
    <row r="164" ht="15.75" customHeight="1">
      <c r="A164" s="23"/>
      <c r="E164" s="23"/>
      <c r="H164" s="23" t="str">
        <f t="shared" si="2"/>
        <v/>
      </c>
    </row>
    <row r="165" ht="15.75" customHeight="1">
      <c r="A165" s="23"/>
      <c r="E165" s="23"/>
      <c r="H165" s="23" t="str">
        <f t="shared" si="2"/>
        <v/>
      </c>
    </row>
    <row r="166" ht="15.75" customHeight="1">
      <c r="A166" s="23"/>
      <c r="E166" s="23"/>
      <c r="H166" s="23" t="str">
        <f t="shared" si="2"/>
        <v/>
      </c>
    </row>
    <row r="167" ht="15.75" customHeight="1">
      <c r="A167" s="23"/>
      <c r="E167" s="23"/>
      <c r="H167" s="23" t="str">
        <f t="shared" si="2"/>
        <v/>
      </c>
    </row>
    <row r="168" ht="15.75" customHeight="1">
      <c r="A168" s="23"/>
      <c r="E168" s="23"/>
      <c r="H168" s="23" t="str">
        <f t="shared" si="2"/>
        <v/>
      </c>
    </row>
    <row r="169" ht="15.75" customHeight="1">
      <c r="A169" s="23"/>
      <c r="E169" s="23"/>
      <c r="H169" s="23" t="str">
        <f t="shared" si="2"/>
        <v/>
      </c>
    </row>
    <row r="170" ht="15.75" customHeight="1">
      <c r="A170" s="23"/>
      <c r="E170" s="23"/>
      <c r="H170" s="23" t="str">
        <f t="shared" si="2"/>
        <v/>
      </c>
    </row>
    <row r="171" ht="15.75" customHeight="1">
      <c r="A171" s="23"/>
      <c r="E171" s="23"/>
      <c r="H171" s="23" t="str">
        <f t="shared" si="2"/>
        <v/>
      </c>
    </row>
    <row r="172" ht="15.75" customHeight="1">
      <c r="A172" s="23"/>
      <c r="E172" s="23"/>
      <c r="H172" s="23" t="str">
        <f t="shared" si="2"/>
        <v/>
      </c>
    </row>
    <row r="173" ht="15.75" customHeight="1">
      <c r="A173" s="23"/>
      <c r="E173" s="23"/>
      <c r="H173" s="23" t="str">
        <f t="shared" si="2"/>
        <v/>
      </c>
    </row>
    <row r="174" ht="15.75" customHeight="1">
      <c r="A174" s="23"/>
      <c r="E174" s="23"/>
      <c r="H174" s="23" t="str">
        <f t="shared" si="2"/>
        <v/>
      </c>
    </row>
    <row r="175" ht="15.75" customHeight="1">
      <c r="A175" s="23"/>
      <c r="E175" s="23"/>
      <c r="H175" s="23" t="str">
        <f t="shared" si="2"/>
        <v/>
      </c>
    </row>
    <row r="176" ht="15.75" customHeight="1">
      <c r="A176" s="23"/>
      <c r="E176" s="23"/>
      <c r="H176" s="23" t="str">
        <f t="shared" si="2"/>
        <v/>
      </c>
    </row>
    <row r="177" ht="15.75" customHeight="1">
      <c r="A177" s="23"/>
      <c r="E177" s="23"/>
      <c r="H177" s="23" t="str">
        <f t="shared" si="2"/>
        <v/>
      </c>
    </row>
    <row r="178" ht="15.75" customHeight="1">
      <c r="A178" s="23"/>
      <c r="E178" s="23"/>
      <c r="H178" s="23" t="str">
        <f t="shared" si="2"/>
        <v/>
      </c>
    </row>
    <row r="179" ht="15.75" customHeight="1">
      <c r="A179" s="23"/>
      <c r="E179" s="23"/>
      <c r="H179" s="23" t="str">
        <f t="shared" si="2"/>
        <v/>
      </c>
    </row>
    <row r="180" ht="15.75" customHeight="1">
      <c r="A180" s="23"/>
      <c r="E180" s="23"/>
      <c r="H180" s="23" t="str">
        <f t="shared" si="2"/>
        <v/>
      </c>
    </row>
    <row r="181" ht="15.75" customHeight="1">
      <c r="A181" s="23"/>
      <c r="E181" s="23"/>
      <c r="H181" s="23" t="str">
        <f t="shared" si="2"/>
        <v/>
      </c>
    </row>
    <row r="182" ht="15.75" customHeight="1">
      <c r="A182" s="23"/>
      <c r="E182" s="23"/>
      <c r="H182" s="23" t="str">
        <f t="shared" si="2"/>
        <v/>
      </c>
    </row>
    <row r="183" ht="15.75" customHeight="1">
      <c r="A183" s="23"/>
      <c r="E183" s="23"/>
      <c r="H183" s="23" t="str">
        <f t="shared" si="2"/>
        <v/>
      </c>
    </row>
    <row r="184" ht="15.75" customHeight="1">
      <c r="A184" s="23"/>
      <c r="E184" s="23"/>
      <c r="H184" s="23" t="str">
        <f t="shared" si="2"/>
        <v/>
      </c>
    </row>
    <row r="185" ht="15.75" customHeight="1">
      <c r="A185" s="23"/>
      <c r="E185" s="23"/>
      <c r="H185" s="23" t="str">
        <f t="shared" si="2"/>
        <v/>
      </c>
    </row>
    <row r="186" ht="15.75" customHeight="1">
      <c r="A186" s="23"/>
      <c r="E186" s="23"/>
      <c r="H186" s="23" t="str">
        <f t="shared" si="2"/>
        <v/>
      </c>
    </row>
    <row r="187" ht="15.75" customHeight="1">
      <c r="A187" s="23"/>
      <c r="E187" s="23"/>
      <c r="H187" s="23" t="str">
        <f t="shared" si="2"/>
        <v/>
      </c>
    </row>
    <row r="188" ht="15.75" customHeight="1">
      <c r="A188" s="23"/>
      <c r="E188" s="23"/>
      <c r="H188" s="23" t="str">
        <f t="shared" si="2"/>
        <v/>
      </c>
    </row>
    <row r="189" ht="15.75" customHeight="1">
      <c r="A189" s="23"/>
      <c r="E189" s="23"/>
      <c r="H189" s="23" t="str">
        <f t="shared" si="2"/>
        <v/>
      </c>
    </row>
    <row r="190" ht="15.75" customHeight="1">
      <c r="A190" s="23"/>
      <c r="E190" s="23"/>
      <c r="H190" s="23" t="str">
        <f t="shared" si="2"/>
        <v/>
      </c>
    </row>
    <row r="191" ht="15.75" customHeight="1">
      <c r="A191" s="23"/>
      <c r="E191" s="23"/>
      <c r="H191" s="23" t="str">
        <f t="shared" si="2"/>
        <v/>
      </c>
    </row>
    <row r="192" ht="15.75" customHeight="1">
      <c r="A192" s="23"/>
      <c r="E192" s="23"/>
      <c r="H192" s="23" t="str">
        <f t="shared" si="2"/>
        <v/>
      </c>
    </row>
    <row r="193" ht="15.75" customHeight="1">
      <c r="A193" s="23"/>
      <c r="E193" s="23"/>
      <c r="H193" s="23" t="str">
        <f t="shared" si="2"/>
        <v/>
      </c>
    </row>
    <row r="194" ht="15.75" customHeight="1">
      <c r="A194" s="23"/>
      <c r="E194" s="23"/>
      <c r="H194" s="23" t="str">
        <f t="shared" si="2"/>
        <v/>
      </c>
    </row>
    <row r="195" ht="15.75" customHeight="1">
      <c r="A195" s="23"/>
      <c r="E195" s="23"/>
      <c r="H195" s="23" t="str">
        <f t="shared" si="2"/>
        <v/>
      </c>
    </row>
    <row r="196" ht="15.75" customHeight="1">
      <c r="A196" s="23"/>
      <c r="E196" s="23"/>
      <c r="H196" s="23" t="str">
        <f t="shared" si="2"/>
        <v/>
      </c>
    </row>
    <row r="197" ht="15.75" customHeight="1">
      <c r="A197" s="23"/>
      <c r="E197" s="23"/>
      <c r="H197" s="23" t="str">
        <f t="shared" si="2"/>
        <v/>
      </c>
    </row>
    <row r="198" ht="15.75" customHeight="1">
      <c r="A198" s="23"/>
      <c r="E198" s="23"/>
      <c r="H198" s="23" t="str">
        <f t="shared" si="2"/>
        <v/>
      </c>
    </row>
    <row r="199" ht="15.75" customHeight="1">
      <c r="A199" s="23"/>
      <c r="E199" s="23"/>
      <c r="H199" s="23" t="str">
        <f t="shared" si="2"/>
        <v/>
      </c>
    </row>
    <row r="200" ht="15.75" customHeight="1">
      <c r="A200" s="23"/>
      <c r="E200" s="23"/>
      <c r="H200" s="23" t="str">
        <f t="shared" si="2"/>
        <v/>
      </c>
    </row>
    <row r="201" ht="15.75" customHeight="1">
      <c r="A201" s="23"/>
      <c r="E201" s="23"/>
      <c r="H201" s="23" t="str">
        <f t="shared" si="2"/>
        <v/>
      </c>
    </row>
    <row r="202" ht="15.75" customHeight="1">
      <c r="A202" s="23"/>
      <c r="E202" s="23"/>
      <c r="H202" s="23" t="str">
        <f t="shared" si="2"/>
        <v/>
      </c>
    </row>
    <row r="203" ht="15.75" customHeight="1">
      <c r="A203" s="23"/>
      <c r="E203" s="23"/>
      <c r="H203" s="23" t="str">
        <f t="shared" si="2"/>
        <v/>
      </c>
    </row>
    <row r="204" ht="15.75" customHeight="1">
      <c r="A204" s="23"/>
      <c r="E204" s="23"/>
      <c r="H204" s="23" t="str">
        <f t="shared" si="2"/>
        <v/>
      </c>
    </row>
    <row r="205" ht="15.75" customHeight="1">
      <c r="A205" s="23"/>
      <c r="E205" s="23"/>
      <c r="H205" s="23" t="str">
        <f t="shared" si="2"/>
        <v/>
      </c>
    </row>
    <row r="206" ht="15.75" customHeight="1">
      <c r="A206" s="23"/>
      <c r="E206" s="23"/>
      <c r="H206" s="23" t="str">
        <f t="shared" si="2"/>
        <v/>
      </c>
    </row>
    <row r="207" ht="15.75" customHeight="1">
      <c r="A207" s="23"/>
      <c r="E207" s="23"/>
      <c r="H207" s="23" t="str">
        <f t="shared" si="2"/>
        <v/>
      </c>
    </row>
    <row r="208" ht="15.75" customHeight="1">
      <c r="A208" s="23"/>
      <c r="E208" s="23"/>
      <c r="H208" s="23" t="str">
        <f t="shared" si="2"/>
        <v/>
      </c>
    </row>
    <row r="209" ht="15.75" customHeight="1">
      <c r="A209" s="23"/>
      <c r="E209" s="23"/>
      <c r="H209" s="23" t="str">
        <f t="shared" si="2"/>
        <v/>
      </c>
    </row>
    <row r="210" ht="15.75" customHeight="1">
      <c r="A210" s="23"/>
      <c r="E210" s="23"/>
      <c r="H210" s="23" t="str">
        <f t="shared" si="2"/>
        <v/>
      </c>
    </row>
    <row r="211" ht="15.75" customHeight="1">
      <c r="A211" s="23"/>
      <c r="E211" s="23"/>
      <c r="H211" s="23" t="str">
        <f t="shared" si="2"/>
        <v/>
      </c>
    </row>
    <row r="212" ht="15.75" customHeight="1">
      <c r="A212" s="23"/>
      <c r="E212" s="23"/>
      <c r="H212" s="23" t="str">
        <f t="shared" si="2"/>
        <v/>
      </c>
    </row>
    <row r="213" ht="15.75" customHeight="1">
      <c r="A213" s="23"/>
      <c r="E213" s="23"/>
      <c r="H213" s="23" t="str">
        <f t="shared" si="2"/>
        <v/>
      </c>
    </row>
    <row r="214" ht="15.75" customHeight="1">
      <c r="A214" s="23"/>
      <c r="E214" s="23"/>
      <c r="H214" s="23" t="str">
        <f t="shared" si="2"/>
        <v/>
      </c>
    </row>
    <row r="215" ht="15.75" customHeight="1">
      <c r="A215" s="23"/>
      <c r="E215" s="23"/>
      <c r="H215" s="23" t="str">
        <f t="shared" si="2"/>
        <v/>
      </c>
    </row>
    <row r="216" ht="15.75" customHeight="1">
      <c r="A216" s="23"/>
      <c r="E216" s="23"/>
      <c r="H216" s="23" t="str">
        <f t="shared" si="2"/>
        <v/>
      </c>
    </row>
    <row r="217" ht="15.75" customHeight="1">
      <c r="A217" s="23"/>
      <c r="E217" s="23"/>
      <c r="H217" s="23" t="str">
        <f t="shared" si="2"/>
        <v/>
      </c>
    </row>
    <row r="218" ht="15.75" customHeight="1">
      <c r="A218" s="23"/>
      <c r="E218" s="23"/>
      <c r="H218" s="23" t="str">
        <f t="shared" si="2"/>
        <v/>
      </c>
    </row>
    <row r="219" ht="15.75" customHeight="1">
      <c r="A219" s="23"/>
      <c r="E219" s="23"/>
      <c r="H219" s="23" t="str">
        <f t="shared" si="2"/>
        <v/>
      </c>
    </row>
    <row r="220" ht="15.75" customHeight="1">
      <c r="A220" s="23"/>
      <c r="E220" s="23"/>
      <c r="H220" s="23" t="str">
        <f t="shared" si="2"/>
        <v/>
      </c>
    </row>
    <row r="221" ht="15.75" customHeight="1">
      <c r="A221" s="23"/>
      <c r="E221" s="23"/>
      <c r="H221" s="23" t="str">
        <f t="shared" si="2"/>
        <v/>
      </c>
    </row>
    <row r="222" ht="15.75" customHeight="1">
      <c r="A222" s="23"/>
      <c r="E222" s="23"/>
      <c r="H222" s="23" t="str">
        <f t="shared" si="2"/>
        <v/>
      </c>
    </row>
    <row r="223" ht="15.75" customHeight="1">
      <c r="A223" s="23"/>
      <c r="E223" s="23"/>
      <c r="H223" s="23" t="str">
        <f t="shared" si="2"/>
        <v/>
      </c>
    </row>
    <row r="224" ht="15.75" customHeight="1">
      <c r="A224" s="23"/>
      <c r="E224" s="23"/>
      <c r="H224" s="23" t="str">
        <f t="shared" si="2"/>
        <v/>
      </c>
    </row>
    <row r="225" ht="15.75" customHeight="1">
      <c r="A225" s="23"/>
      <c r="E225" s="23"/>
      <c r="H225" s="23" t="str">
        <f t="shared" si="2"/>
        <v/>
      </c>
    </row>
    <row r="226" ht="15.75" customHeight="1">
      <c r="A226" s="23"/>
      <c r="E226" s="23"/>
      <c r="H226" s="23" t="str">
        <f t="shared" si="2"/>
        <v/>
      </c>
    </row>
    <row r="227" ht="15.75" customHeight="1">
      <c r="A227" s="23"/>
      <c r="E227" s="23"/>
      <c r="H227" s="23" t="str">
        <f t="shared" si="2"/>
        <v/>
      </c>
    </row>
    <row r="228" ht="15.75" customHeight="1">
      <c r="A228" s="23"/>
      <c r="E228" s="23"/>
      <c r="H228" s="23" t="str">
        <f t="shared" si="2"/>
        <v/>
      </c>
    </row>
    <row r="229" ht="15.75" customHeight="1">
      <c r="A229" s="23"/>
      <c r="E229" s="23"/>
      <c r="H229" s="23" t="str">
        <f t="shared" si="2"/>
        <v/>
      </c>
    </row>
    <row r="230" ht="15.75" customHeight="1">
      <c r="A230" s="23"/>
      <c r="E230" s="23"/>
      <c r="H230" s="23" t="str">
        <f t="shared" si="2"/>
        <v/>
      </c>
    </row>
    <row r="231" ht="15.75" customHeight="1">
      <c r="A231" s="23"/>
      <c r="E231" s="23"/>
      <c r="H231" s="23" t="str">
        <f t="shared" si="2"/>
        <v/>
      </c>
    </row>
    <row r="232" ht="15.75" customHeight="1">
      <c r="A232" s="23"/>
      <c r="E232" s="23"/>
      <c r="H232" s="23" t="str">
        <f t="shared" si="2"/>
        <v/>
      </c>
    </row>
    <row r="233" ht="15.75" customHeight="1">
      <c r="A233" s="23"/>
      <c r="E233" s="23"/>
      <c r="H233" s="23" t="str">
        <f t="shared" si="2"/>
        <v/>
      </c>
    </row>
    <row r="234" ht="15.75" customHeight="1">
      <c r="A234" s="23"/>
      <c r="E234" s="23"/>
      <c r="H234" s="23" t="str">
        <f t="shared" si="2"/>
        <v/>
      </c>
    </row>
    <row r="235" ht="15.75" customHeight="1">
      <c r="A235" s="23"/>
      <c r="E235" s="23"/>
      <c r="H235" s="23" t="str">
        <f t="shared" si="2"/>
        <v/>
      </c>
    </row>
    <row r="236" ht="15.75" customHeight="1">
      <c r="A236" s="23"/>
      <c r="E236" s="23"/>
      <c r="H236" s="23" t="str">
        <f t="shared" si="2"/>
        <v/>
      </c>
    </row>
    <row r="237" ht="15.75" customHeight="1">
      <c r="A237" s="23"/>
      <c r="E237" s="23"/>
      <c r="H237" s="23" t="str">
        <f t="shared" si="2"/>
        <v/>
      </c>
    </row>
    <row r="238" ht="15.75" customHeight="1">
      <c r="A238" s="23"/>
      <c r="E238" s="23"/>
      <c r="H238" s="23" t="str">
        <f t="shared" si="2"/>
        <v/>
      </c>
    </row>
    <row r="239" ht="15.75" customHeight="1">
      <c r="A239" s="23"/>
      <c r="E239" s="23"/>
      <c r="H239" s="23" t="str">
        <f t="shared" si="2"/>
        <v/>
      </c>
    </row>
    <row r="240" ht="15.75" customHeight="1">
      <c r="A240" s="23"/>
      <c r="E240" s="23"/>
      <c r="H240" s="23" t="str">
        <f t="shared" si="2"/>
        <v/>
      </c>
    </row>
    <row r="241" ht="15.75" customHeight="1">
      <c r="A241" s="23"/>
      <c r="E241" s="23"/>
      <c r="H241" s="23" t="str">
        <f t="shared" si="2"/>
        <v/>
      </c>
    </row>
    <row r="242" ht="15.75" customHeight="1">
      <c r="A242" s="23"/>
      <c r="E242" s="23"/>
      <c r="H242" s="23" t="str">
        <f t="shared" si="2"/>
        <v/>
      </c>
    </row>
    <row r="243" ht="15.75" customHeight="1">
      <c r="A243" s="23"/>
      <c r="E243" s="23"/>
      <c r="H243" s="23" t="str">
        <f t="shared" si="2"/>
        <v/>
      </c>
    </row>
    <row r="244" ht="15.75" customHeight="1">
      <c r="A244" s="23"/>
      <c r="E244" s="23"/>
      <c r="H244" s="23" t="str">
        <f t="shared" si="2"/>
        <v/>
      </c>
    </row>
    <row r="245" ht="15.75" customHeight="1">
      <c r="A245" s="23"/>
      <c r="E245" s="23"/>
      <c r="H245" s="23" t="str">
        <f t="shared" si="2"/>
        <v/>
      </c>
    </row>
    <row r="246" ht="15.75" customHeight="1">
      <c r="A246" s="23"/>
      <c r="E246" s="23"/>
      <c r="H246" s="23" t="str">
        <f t="shared" si="2"/>
        <v/>
      </c>
    </row>
    <row r="247" ht="15.75" customHeight="1">
      <c r="A247" s="23"/>
      <c r="E247" s="23"/>
      <c r="H247" s="23" t="str">
        <f t="shared" si="2"/>
        <v/>
      </c>
    </row>
    <row r="248" ht="15.75" customHeight="1">
      <c r="A248" s="23"/>
      <c r="E248" s="23"/>
      <c r="H248" s="23" t="str">
        <f t="shared" si="2"/>
        <v/>
      </c>
    </row>
    <row r="249" ht="15.75" customHeight="1">
      <c r="A249" s="23"/>
      <c r="E249" s="23"/>
      <c r="H249" s="23" t="str">
        <f t="shared" si="2"/>
        <v/>
      </c>
    </row>
    <row r="250" ht="15.75" customHeight="1">
      <c r="A250" s="23"/>
      <c r="E250" s="23"/>
      <c r="H250" s="23" t="str">
        <f t="shared" si="2"/>
        <v/>
      </c>
    </row>
    <row r="251" ht="15.75" customHeight="1">
      <c r="A251" s="23"/>
      <c r="E251" s="23"/>
      <c r="H251" s="23" t="str">
        <f t="shared" si="2"/>
        <v/>
      </c>
    </row>
    <row r="252" ht="15.75" customHeight="1">
      <c r="A252" s="23"/>
      <c r="E252" s="23"/>
      <c r="H252" s="23" t="str">
        <f t="shared" si="2"/>
        <v/>
      </c>
    </row>
    <row r="253" ht="15.75" customHeight="1">
      <c r="A253" s="23"/>
      <c r="E253" s="23"/>
      <c r="H253" s="23" t="str">
        <f t="shared" si="2"/>
        <v/>
      </c>
    </row>
    <row r="254" ht="15.75" customHeight="1">
      <c r="A254" s="23"/>
      <c r="E254" s="23"/>
      <c r="H254" s="23" t="str">
        <f t="shared" si="2"/>
        <v/>
      </c>
    </row>
    <row r="255" ht="15.75" customHeight="1">
      <c r="A255" s="23"/>
      <c r="E255" s="23"/>
      <c r="H255" s="23" t="str">
        <f t="shared" si="2"/>
        <v/>
      </c>
    </row>
    <row r="256" ht="15.75" customHeight="1">
      <c r="A256" s="23"/>
      <c r="E256" s="23"/>
      <c r="H256" s="23" t="str">
        <f t="shared" si="2"/>
        <v/>
      </c>
    </row>
    <row r="257" ht="15.75" customHeight="1">
      <c r="A257" s="23"/>
      <c r="E257" s="23"/>
      <c r="H257" s="23" t="str">
        <f t="shared" si="2"/>
        <v/>
      </c>
    </row>
    <row r="258" ht="15.75" customHeight="1">
      <c r="A258" s="23"/>
      <c r="E258" s="23"/>
      <c r="H258" s="23" t="str">
        <f t="shared" si="2"/>
        <v/>
      </c>
    </row>
    <row r="259" ht="15.75" customHeight="1">
      <c r="A259" s="23"/>
      <c r="E259" s="23"/>
      <c r="H259" s="23" t="str">
        <f t="shared" si="2"/>
        <v/>
      </c>
    </row>
    <row r="260" ht="15.75" customHeight="1">
      <c r="A260" s="23"/>
      <c r="E260" s="23"/>
      <c r="H260" s="23" t="str">
        <f t="shared" si="2"/>
        <v/>
      </c>
    </row>
    <row r="261" ht="15.75" customHeight="1">
      <c r="A261" s="23"/>
      <c r="E261" s="23"/>
      <c r="H261" s="23" t="str">
        <f t="shared" si="2"/>
        <v/>
      </c>
    </row>
    <row r="262" ht="15.75" customHeight="1">
      <c r="A262" s="23"/>
      <c r="E262" s="23"/>
      <c r="H262" s="23" t="str">
        <f t="shared" si="2"/>
        <v/>
      </c>
    </row>
    <row r="263" ht="15.75" customHeight="1">
      <c r="A263" s="23"/>
      <c r="E263" s="23"/>
      <c r="H263" s="23" t="str">
        <f t="shared" si="2"/>
        <v/>
      </c>
    </row>
    <row r="264" ht="15.75" customHeight="1">
      <c r="A264" s="23"/>
      <c r="E264" s="23"/>
      <c r="H264" s="23" t="str">
        <f t="shared" si="2"/>
        <v/>
      </c>
    </row>
    <row r="265" ht="15.75" customHeight="1">
      <c r="A265" s="23"/>
      <c r="E265" s="23"/>
      <c r="H265" s="23" t="str">
        <f t="shared" si="2"/>
        <v/>
      </c>
    </row>
    <row r="266" ht="15.75" customHeight="1">
      <c r="A266" s="23"/>
      <c r="E266" s="23"/>
      <c r="H266" s="23" t="str">
        <f t="shared" si="2"/>
        <v/>
      </c>
    </row>
    <row r="267" ht="15.75" customHeight="1">
      <c r="A267" s="23"/>
      <c r="E267" s="23"/>
      <c r="H267" s="23" t="str">
        <f t="shared" si="2"/>
        <v/>
      </c>
    </row>
    <row r="268" ht="15.75" customHeight="1">
      <c r="A268" s="23"/>
      <c r="E268" s="23"/>
      <c r="H268" s="23" t="str">
        <f t="shared" si="2"/>
        <v/>
      </c>
    </row>
    <row r="269" ht="15.75" customHeight="1">
      <c r="A269" s="23"/>
      <c r="E269" s="23"/>
      <c r="H269" s="23" t="str">
        <f t="shared" si="2"/>
        <v/>
      </c>
    </row>
    <row r="270" ht="15.75" customHeight="1">
      <c r="A270" s="23"/>
      <c r="E270" s="23"/>
      <c r="H270" s="23" t="str">
        <f t="shared" si="2"/>
        <v/>
      </c>
    </row>
    <row r="271" ht="15.75" customHeight="1">
      <c r="A271" s="23"/>
      <c r="E271" s="23"/>
      <c r="H271" s="23" t="str">
        <f t="shared" si="2"/>
        <v/>
      </c>
    </row>
    <row r="272" ht="15.75" customHeight="1">
      <c r="A272" s="23"/>
      <c r="E272" s="23"/>
      <c r="H272" s="23" t="str">
        <f t="shared" si="2"/>
        <v/>
      </c>
    </row>
    <row r="273" ht="15.75" customHeight="1">
      <c r="A273" s="23"/>
      <c r="E273" s="23"/>
      <c r="H273" s="23" t="str">
        <f t="shared" si="2"/>
        <v/>
      </c>
    </row>
    <row r="274" ht="15.75" customHeight="1">
      <c r="A274" s="23"/>
      <c r="E274" s="23"/>
      <c r="H274" s="23" t="str">
        <f t="shared" si="2"/>
        <v/>
      </c>
    </row>
    <row r="275" ht="15.75" customHeight="1">
      <c r="A275" s="23"/>
      <c r="E275" s="23"/>
      <c r="H275" s="23" t="str">
        <f t="shared" si="2"/>
        <v/>
      </c>
    </row>
    <row r="276" ht="15.75" customHeight="1">
      <c r="A276" s="23"/>
      <c r="E276" s="23"/>
      <c r="H276" s="23" t="str">
        <f t="shared" si="2"/>
        <v/>
      </c>
    </row>
    <row r="277" ht="15.75" customHeight="1">
      <c r="A277" s="23"/>
      <c r="E277" s="23"/>
      <c r="H277" s="23" t="str">
        <f t="shared" si="2"/>
        <v/>
      </c>
    </row>
    <row r="278" ht="15.75" customHeight="1">
      <c r="A278" s="23"/>
      <c r="E278" s="23"/>
      <c r="H278" s="23" t="str">
        <f t="shared" si="2"/>
        <v/>
      </c>
    </row>
    <row r="279" ht="15.75" customHeight="1">
      <c r="A279" s="23"/>
      <c r="E279" s="23"/>
      <c r="H279" s="23" t="str">
        <f t="shared" si="2"/>
        <v/>
      </c>
    </row>
    <row r="280" ht="15.75" customHeight="1">
      <c r="A280" s="23"/>
      <c r="E280" s="23"/>
      <c r="H280" s="23" t="str">
        <f t="shared" si="2"/>
        <v/>
      </c>
    </row>
    <row r="281" ht="15.75" customHeight="1">
      <c r="A281" s="23"/>
      <c r="E281" s="23"/>
      <c r="H281" s="23" t="str">
        <f t="shared" si="2"/>
        <v/>
      </c>
    </row>
    <row r="282" ht="15.75" customHeight="1">
      <c r="A282" s="23"/>
      <c r="E282" s="23"/>
      <c r="H282" s="23" t="str">
        <f t="shared" si="2"/>
        <v/>
      </c>
    </row>
    <row r="283" ht="15.75" customHeight="1">
      <c r="A283" s="23"/>
      <c r="E283" s="23"/>
      <c r="H283" s="23" t="str">
        <f t="shared" si="2"/>
        <v/>
      </c>
    </row>
    <row r="284" ht="15.75" customHeight="1">
      <c r="A284" s="23"/>
      <c r="E284" s="23"/>
      <c r="H284" s="23" t="str">
        <f t="shared" si="2"/>
        <v/>
      </c>
    </row>
    <row r="285" ht="15.75" customHeight="1">
      <c r="A285" s="23"/>
      <c r="E285" s="23"/>
      <c r="H285" s="23" t="str">
        <f t="shared" si="2"/>
        <v/>
      </c>
    </row>
    <row r="286" ht="15.75" customHeight="1">
      <c r="A286" s="23"/>
      <c r="E286" s="23"/>
      <c r="H286" s="23" t="str">
        <f t="shared" si="2"/>
        <v/>
      </c>
    </row>
    <row r="287" ht="15.75" customHeight="1">
      <c r="A287" s="23"/>
      <c r="E287" s="23"/>
      <c r="H287" s="23" t="str">
        <f t="shared" si="2"/>
        <v/>
      </c>
    </row>
    <row r="288" ht="15.75" customHeight="1">
      <c r="A288" s="23"/>
      <c r="E288" s="23"/>
      <c r="H288" s="23" t="str">
        <f t="shared" si="2"/>
        <v/>
      </c>
    </row>
    <row r="289" ht="15.75" customHeight="1">
      <c r="A289" s="23"/>
      <c r="E289" s="23"/>
      <c r="H289" s="23" t="str">
        <f t="shared" si="2"/>
        <v/>
      </c>
    </row>
    <row r="290" ht="15.75" customHeight="1">
      <c r="A290" s="23"/>
      <c r="E290" s="23"/>
      <c r="H290" s="23" t="str">
        <f t="shared" si="2"/>
        <v/>
      </c>
    </row>
    <row r="291" ht="15.75" customHeight="1">
      <c r="A291" s="23"/>
      <c r="E291" s="23"/>
      <c r="H291" s="23" t="str">
        <f t="shared" si="2"/>
        <v/>
      </c>
    </row>
    <row r="292" ht="15.75" customHeight="1">
      <c r="A292" s="23"/>
      <c r="E292" s="23"/>
      <c r="H292" s="23" t="str">
        <f t="shared" si="2"/>
        <v/>
      </c>
    </row>
    <row r="293" ht="15.75" customHeight="1">
      <c r="A293" s="23"/>
      <c r="E293" s="23"/>
      <c r="H293" s="23" t="str">
        <f t="shared" si="2"/>
        <v/>
      </c>
    </row>
    <row r="294" ht="15.75" customHeight="1">
      <c r="A294" s="23"/>
      <c r="E294" s="23"/>
      <c r="H294" s="23" t="str">
        <f t="shared" si="2"/>
        <v/>
      </c>
    </row>
    <row r="295" ht="15.75" customHeight="1">
      <c r="A295" s="23"/>
      <c r="E295" s="23"/>
      <c r="H295" s="23" t="str">
        <f t="shared" si="2"/>
        <v/>
      </c>
    </row>
    <row r="296" ht="15.75" customHeight="1">
      <c r="A296" s="23"/>
      <c r="E296" s="23"/>
      <c r="H296" s="23" t="str">
        <f t="shared" si="2"/>
        <v/>
      </c>
    </row>
    <row r="297" ht="15.75" customHeight="1">
      <c r="A297" s="23"/>
      <c r="E297" s="23"/>
      <c r="H297" s="23" t="str">
        <f t="shared" si="2"/>
        <v/>
      </c>
    </row>
    <row r="298" ht="15.75" customHeight="1">
      <c r="A298" s="23"/>
      <c r="E298" s="23"/>
      <c r="H298" s="23" t="str">
        <f t="shared" si="2"/>
        <v/>
      </c>
    </row>
    <row r="299" ht="15.75" customHeight="1">
      <c r="A299" s="23"/>
      <c r="E299" s="23"/>
      <c r="H299" s="23" t="str">
        <f t="shared" si="2"/>
        <v/>
      </c>
    </row>
    <row r="300" ht="15.75" customHeight="1">
      <c r="A300" s="23"/>
      <c r="E300" s="23"/>
      <c r="H300" s="23" t="str">
        <f t="shared" si="2"/>
        <v/>
      </c>
    </row>
    <row r="301" ht="15.75" customHeight="1">
      <c r="A301" s="23"/>
      <c r="E301" s="23"/>
      <c r="H301" s="23" t="str">
        <f t="shared" si="2"/>
        <v/>
      </c>
    </row>
    <row r="302" ht="15.75" customHeight="1">
      <c r="A302" s="23"/>
      <c r="E302" s="23"/>
      <c r="H302" s="23" t="str">
        <f t="shared" si="2"/>
        <v/>
      </c>
    </row>
    <row r="303" ht="15.75" customHeight="1">
      <c r="A303" s="23"/>
      <c r="E303" s="23"/>
      <c r="H303" s="23" t="str">
        <f t="shared" si="2"/>
        <v/>
      </c>
    </row>
    <row r="304" ht="15.75" customHeight="1">
      <c r="A304" s="23"/>
      <c r="E304" s="23"/>
      <c r="H304" s="23" t="str">
        <f t="shared" si="2"/>
        <v/>
      </c>
    </row>
    <row r="305" ht="15.75" customHeight="1">
      <c r="A305" s="23"/>
      <c r="E305" s="23"/>
      <c r="H305" s="23" t="str">
        <f t="shared" si="2"/>
        <v/>
      </c>
    </row>
    <row r="306" ht="15.75" customHeight="1">
      <c r="A306" s="23"/>
      <c r="E306" s="23"/>
      <c r="H306" s="23" t="str">
        <f t="shared" si="2"/>
        <v/>
      </c>
    </row>
    <row r="307" ht="15.75" customHeight="1">
      <c r="A307" s="23"/>
      <c r="E307" s="23"/>
      <c r="H307" s="23" t="str">
        <f t="shared" si="2"/>
        <v/>
      </c>
    </row>
    <row r="308" ht="15.75" customHeight="1">
      <c r="A308" s="23"/>
      <c r="E308" s="23"/>
      <c r="H308" s="23" t="str">
        <f t="shared" si="2"/>
        <v/>
      </c>
    </row>
    <row r="309" ht="15.75" customHeight="1">
      <c r="A309" s="23"/>
      <c r="E309" s="23"/>
      <c r="H309" s="23" t="str">
        <f t="shared" si="2"/>
        <v/>
      </c>
    </row>
    <row r="310" ht="15.75" customHeight="1">
      <c r="A310" s="23"/>
      <c r="E310" s="23"/>
      <c r="H310" s="23" t="str">
        <f t="shared" si="2"/>
        <v/>
      </c>
    </row>
    <row r="311" ht="15.75" customHeight="1">
      <c r="A311" s="23"/>
      <c r="E311" s="23"/>
      <c r="H311" s="23" t="str">
        <f t="shared" si="2"/>
        <v/>
      </c>
    </row>
    <row r="312" ht="15.75" customHeight="1">
      <c r="A312" s="23"/>
      <c r="E312" s="23"/>
      <c r="H312" s="23" t="str">
        <f t="shared" si="2"/>
        <v/>
      </c>
    </row>
    <row r="313" ht="15.75" customHeight="1">
      <c r="A313" s="23"/>
      <c r="E313" s="23"/>
      <c r="H313" s="23" t="str">
        <f t="shared" si="2"/>
        <v/>
      </c>
    </row>
    <row r="314" ht="15.75" customHeight="1">
      <c r="A314" s="23"/>
      <c r="E314" s="23"/>
      <c r="H314" s="23" t="str">
        <f t="shared" si="2"/>
        <v/>
      </c>
    </row>
    <row r="315" ht="15.75" customHeight="1">
      <c r="A315" s="23"/>
      <c r="E315" s="23"/>
      <c r="H315" s="23" t="str">
        <f t="shared" si="2"/>
        <v/>
      </c>
    </row>
    <row r="316" ht="15.75" customHeight="1">
      <c r="A316" s="23"/>
      <c r="E316" s="23"/>
      <c r="H316" s="23" t="str">
        <f t="shared" si="2"/>
        <v/>
      </c>
    </row>
    <row r="317" ht="15.75" customHeight="1">
      <c r="A317" s="23"/>
      <c r="E317" s="23"/>
      <c r="H317" s="23" t="str">
        <f t="shared" si="2"/>
        <v/>
      </c>
    </row>
    <row r="318" ht="15.75" customHeight="1">
      <c r="A318" s="23"/>
      <c r="E318" s="23"/>
      <c r="H318" s="23" t="str">
        <f t="shared" si="2"/>
        <v/>
      </c>
    </row>
    <row r="319" ht="15.75" customHeight="1">
      <c r="A319" s="23"/>
      <c r="E319" s="23"/>
      <c r="H319" s="23" t="str">
        <f t="shared" si="2"/>
        <v/>
      </c>
    </row>
    <row r="320" ht="15.75" customHeight="1">
      <c r="A320" s="23"/>
      <c r="E320" s="23"/>
      <c r="H320" s="23" t="str">
        <f t="shared" si="2"/>
        <v/>
      </c>
    </row>
    <row r="321" ht="15.75" customHeight="1">
      <c r="A321" s="23"/>
      <c r="E321" s="23"/>
      <c r="H321" s="23" t="str">
        <f t="shared" si="2"/>
        <v/>
      </c>
    </row>
    <row r="322" ht="15.75" customHeight="1">
      <c r="A322" s="23"/>
      <c r="E322" s="23"/>
      <c r="H322" s="23" t="str">
        <f t="shared" si="2"/>
        <v/>
      </c>
    </row>
    <row r="323" ht="15.75" customHeight="1">
      <c r="A323" s="23"/>
      <c r="E323" s="23"/>
      <c r="H323" s="23" t="str">
        <f t="shared" si="2"/>
        <v/>
      </c>
    </row>
    <row r="324" ht="15.75" customHeight="1">
      <c r="A324" s="23"/>
      <c r="E324" s="23"/>
      <c r="H324" s="23" t="str">
        <f t="shared" si="2"/>
        <v/>
      </c>
    </row>
    <row r="325" ht="15.75" customHeight="1">
      <c r="A325" s="23"/>
      <c r="E325" s="23"/>
      <c r="H325" s="23" t="str">
        <f t="shared" si="2"/>
        <v/>
      </c>
    </row>
    <row r="326" ht="15.75" customHeight="1">
      <c r="A326" s="23"/>
      <c r="E326" s="23"/>
      <c r="H326" s="23" t="str">
        <f t="shared" si="2"/>
        <v/>
      </c>
    </row>
    <row r="327" ht="15.75" customHeight="1">
      <c r="A327" s="23"/>
      <c r="E327" s="23"/>
      <c r="H327" s="23" t="str">
        <f t="shared" si="2"/>
        <v/>
      </c>
    </row>
    <row r="328" ht="15.75" customHeight="1">
      <c r="A328" s="23"/>
      <c r="E328" s="23"/>
      <c r="H328" s="23" t="str">
        <f t="shared" si="2"/>
        <v/>
      </c>
    </row>
    <row r="329" ht="15.75" customHeight="1">
      <c r="A329" s="23"/>
      <c r="E329" s="23"/>
      <c r="H329" s="23" t="str">
        <f t="shared" si="2"/>
        <v/>
      </c>
    </row>
    <row r="330" ht="15.75" customHeight="1">
      <c r="A330" s="23"/>
      <c r="E330" s="23"/>
      <c r="H330" s="23" t="str">
        <f t="shared" si="2"/>
        <v/>
      </c>
    </row>
    <row r="331" ht="15.75" customHeight="1">
      <c r="A331" s="23"/>
      <c r="E331" s="23"/>
      <c r="H331" s="23" t="str">
        <f t="shared" si="2"/>
        <v/>
      </c>
    </row>
    <row r="332" ht="15.75" customHeight="1">
      <c r="A332" s="23"/>
      <c r="E332" s="23"/>
      <c r="H332" s="23" t="str">
        <f t="shared" si="2"/>
        <v/>
      </c>
    </row>
    <row r="333" ht="15.75" customHeight="1">
      <c r="A333" s="23"/>
      <c r="E333" s="23"/>
      <c r="H333" s="23" t="str">
        <f t="shared" si="2"/>
        <v/>
      </c>
    </row>
    <row r="334" ht="15.75" customHeight="1">
      <c r="A334" s="23"/>
      <c r="E334" s="23"/>
      <c r="H334" s="23" t="str">
        <f t="shared" si="2"/>
        <v/>
      </c>
    </row>
    <row r="335" ht="15.75" customHeight="1">
      <c r="A335" s="23"/>
      <c r="E335" s="23"/>
      <c r="H335" s="23" t="str">
        <f t="shared" si="2"/>
        <v/>
      </c>
    </row>
    <row r="336" ht="15.75" customHeight="1">
      <c r="A336" s="23"/>
      <c r="E336" s="23"/>
      <c r="H336" s="23" t="str">
        <f t="shared" si="2"/>
        <v/>
      </c>
    </row>
    <row r="337" ht="15.75" customHeight="1">
      <c r="A337" s="23"/>
      <c r="E337" s="23"/>
      <c r="H337" s="23" t="str">
        <f t="shared" si="2"/>
        <v/>
      </c>
    </row>
    <row r="338" ht="15.75" customHeight="1">
      <c r="A338" s="23"/>
      <c r="E338" s="23"/>
      <c r="H338" s="23" t="str">
        <f t="shared" si="2"/>
        <v/>
      </c>
    </row>
    <row r="339" ht="15.75" customHeight="1">
      <c r="A339" s="23"/>
      <c r="E339" s="23"/>
      <c r="H339" s="23" t="str">
        <f t="shared" si="2"/>
        <v/>
      </c>
    </row>
    <row r="340" ht="15.75" customHeight="1">
      <c r="A340" s="23"/>
      <c r="E340" s="23"/>
      <c r="H340" s="23" t="str">
        <f t="shared" si="2"/>
        <v/>
      </c>
    </row>
    <row r="341" ht="15.75" customHeight="1">
      <c r="A341" s="23"/>
      <c r="E341" s="23"/>
      <c r="H341" s="23" t="str">
        <f t="shared" si="2"/>
        <v/>
      </c>
    </row>
    <row r="342" ht="15.75" customHeight="1">
      <c r="A342" s="23"/>
      <c r="E342" s="23"/>
      <c r="H342" s="23" t="str">
        <f t="shared" si="2"/>
        <v/>
      </c>
    </row>
    <row r="343" ht="15.75" customHeight="1">
      <c r="A343" s="23"/>
      <c r="E343" s="23"/>
      <c r="H343" s="23" t="str">
        <f t="shared" si="2"/>
        <v/>
      </c>
    </row>
    <row r="344" ht="15.75" customHeight="1">
      <c r="A344" s="23"/>
      <c r="E344" s="23"/>
      <c r="H344" s="23" t="str">
        <f t="shared" si="2"/>
        <v/>
      </c>
    </row>
    <row r="345" ht="15.75" customHeight="1">
      <c r="A345" s="23"/>
      <c r="E345" s="23"/>
      <c r="H345" s="23" t="str">
        <f t="shared" si="2"/>
        <v/>
      </c>
    </row>
    <row r="346" ht="15.75" customHeight="1">
      <c r="A346" s="23"/>
      <c r="E346" s="23"/>
      <c r="H346" s="23" t="str">
        <f t="shared" si="2"/>
        <v/>
      </c>
    </row>
    <row r="347" ht="15.75" customHeight="1">
      <c r="A347" s="23"/>
      <c r="E347" s="23"/>
      <c r="H347" s="23" t="str">
        <f t="shared" si="2"/>
        <v/>
      </c>
    </row>
    <row r="348" ht="15.75" customHeight="1">
      <c r="A348" s="23"/>
      <c r="E348" s="23"/>
      <c r="H348" s="23" t="str">
        <f t="shared" si="2"/>
        <v/>
      </c>
    </row>
    <row r="349" ht="15.75" customHeight="1">
      <c r="A349" s="23"/>
      <c r="E349" s="23"/>
      <c r="H349" s="23" t="str">
        <f t="shared" si="2"/>
        <v/>
      </c>
    </row>
    <row r="350" ht="15.75" customHeight="1">
      <c r="A350" s="23"/>
      <c r="E350" s="23"/>
      <c r="H350" s="23" t="str">
        <f t="shared" si="2"/>
        <v/>
      </c>
    </row>
    <row r="351" ht="15.75" customHeight="1">
      <c r="A351" s="23"/>
      <c r="E351" s="23"/>
      <c r="H351" s="23" t="str">
        <f t="shared" si="2"/>
        <v/>
      </c>
    </row>
    <row r="352" ht="15.75" customHeight="1">
      <c r="A352" s="23"/>
      <c r="E352" s="23"/>
      <c r="H352" s="23" t="str">
        <f t="shared" si="2"/>
        <v/>
      </c>
    </row>
    <row r="353" ht="15.75" customHeight="1">
      <c r="A353" s="23"/>
      <c r="E353" s="23"/>
      <c r="H353" s="23" t="str">
        <f t="shared" si="2"/>
        <v/>
      </c>
    </row>
    <row r="354" ht="15.75" customHeight="1">
      <c r="A354" s="23"/>
      <c r="E354" s="23"/>
      <c r="H354" s="23" t="str">
        <f t="shared" si="2"/>
        <v/>
      </c>
    </row>
    <row r="355" ht="15.75" customHeight="1">
      <c r="A355" s="23"/>
      <c r="E355" s="23"/>
      <c r="H355" s="23" t="str">
        <f t="shared" si="2"/>
        <v/>
      </c>
    </row>
    <row r="356" ht="15.75" customHeight="1">
      <c r="A356" s="23"/>
      <c r="E356" s="23"/>
      <c r="H356" s="23" t="str">
        <f t="shared" si="2"/>
        <v/>
      </c>
    </row>
    <row r="357" ht="15.75" customHeight="1">
      <c r="A357" s="23"/>
      <c r="E357" s="23"/>
      <c r="H357" s="23" t="str">
        <f t="shared" si="2"/>
        <v/>
      </c>
    </row>
    <row r="358" ht="15.75" customHeight="1">
      <c r="A358" s="23"/>
      <c r="E358" s="23"/>
      <c r="H358" s="23" t="str">
        <f t="shared" si="2"/>
        <v/>
      </c>
    </row>
    <row r="359" ht="15.75" customHeight="1">
      <c r="A359" s="23"/>
      <c r="E359" s="23"/>
      <c r="H359" s="23" t="str">
        <f t="shared" si="2"/>
        <v/>
      </c>
    </row>
    <row r="360" ht="15.75" customHeight="1">
      <c r="A360" s="23"/>
      <c r="E360" s="23"/>
      <c r="H360" s="23" t="str">
        <f t="shared" si="2"/>
        <v/>
      </c>
    </row>
    <row r="361" ht="15.75" customHeight="1">
      <c r="A361" s="23"/>
      <c r="E361" s="23"/>
      <c r="H361" s="23" t="str">
        <f t="shared" si="2"/>
        <v/>
      </c>
    </row>
    <row r="362" ht="15.75" customHeight="1">
      <c r="A362" s="23"/>
      <c r="E362" s="23"/>
      <c r="H362" s="23" t="str">
        <f t="shared" si="2"/>
        <v/>
      </c>
    </row>
    <row r="363" ht="15.75" customHeight="1">
      <c r="A363" s="23"/>
      <c r="E363" s="23"/>
      <c r="H363" s="23" t="str">
        <f t="shared" si="2"/>
        <v/>
      </c>
    </row>
    <row r="364" ht="15.75" customHeight="1">
      <c r="A364" s="23"/>
      <c r="E364" s="23"/>
      <c r="H364" s="23" t="str">
        <f t="shared" si="2"/>
        <v/>
      </c>
    </row>
    <row r="365" ht="15.75" customHeight="1">
      <c r="A365" s="23"/>
      <c r="E365" s="23"/>
      <c r="H365" s="23" t="str">
        <f t="shared" si="2"/>
        <v/>
      </c>
    </row>
    <row r="366" ht="15.75" customHeight="1">
      <c r="A366" s="23"/>
      <c r="E366" s="23"/>
      <c r="H366" s="23" t="str">
        <f t="shared" si="2"/>
        <v/>
      </c>
    </row>
    <row r="367" ht="15.75" customHeight="1">
      <c r="A367" s="23"/>
      <c r="E367" s="23"/>
      <c r="H367" s="23" t="str">
        <f t="shared" si="2"/>
        <v/>
      </c>
    </row>
    <row r="368" ht="15.75" customHeight="1">
      <c r="A368" s="23"/>
      <c r="E368" s="23"/>
      <c r="H368" s="23" t="str">
        <f t="shared" si="2"/>
        <v/>
      </c>
    </row>
    <row r="369" ht="15.75" customHeight="1">
      <c r="A369" s="23"/>
      <c r="E369" s="23"/>
      <c r="H369" s="23" t="str">
        <f t="shared" si="2"/>
        <v/>
      </c>
    </row>
    <row r="370" ht="15.75" customHeight="1">
      <c r="A370" s="23"/>
      <c r="E370" s="23"/>
      <c r="H370" s="23" t="str">
        <f t="shared" si="2"/>
        <v/>
      </c>
    </row>
    <row r="371" ht="15.75" customHeight="1">
      <c r="A371" s="23"/>
      <c r="E371" s="23"/>
      <c r="H371" s="23" t="str">
        <f t="shared" si="2"/>
        <v/>
      </c>
    </row>
    <row r="372" ht="15.75" customHeight="1">
      <c r="A372" s="23"/>
      <c r="E372" s="23"/>
      <c r="H372" s="23" t="str">
        <f t="shared" si="2"/>
        <v/>
      </c>
    </row>
    <row r="373" ht="15.75" customHeight="1">
      <c r="A373" s="23"/>
      <c r="E373" s="23"/>
      <c r="H373" s="23" t="str">
        <f t="shared" si="2"/>
        <v/>
      </c>
    </row>
    <row r="374" ht="15.75" customHeight="1">
      <c r="A374" s="23"/>
      <c r="E374" s="23"/>
      <c r="H374" s="23" t="str">
        <f t="shared" si="2"/>
        <v/>
      </c>
    </row>
    <row r="375" ht="15.75" customHeight="1">
      <c r="A375" s="23"/>
      <c r="E375" s="23"/>
      <c r="H375" s="23" t="str">
        <f t="shared" si="2"/>
        <v/>
      </c>
    </row>
    <row r="376" ht="15.75" customHeight="1">
      <c r="A376" s="23"/>
      <c r="E376" s="23"/>
      <c r="H376" s="23" t="str">
        <f t="shared" si="2"/>
        <v/>
      </c>
    </row>
    <row r="377" ht="15.75" customHeight="1">
      <c r="A377" s="23"/>
      <c r="E377" s="23"/>
      <c r="H377" s="23" t="str">
        <f t="shared" si="2"/>
        <v/>
      </c>
    </row>
    <row r="378" ht="15.75" customHeight="1">
      <c r="A378" s="23"/>
      <c r="E378" s="23"/>
      <c r="H378" s="23" t="str">
        <f t="shared" si="2"/>
        <v/>
      </c>
    </row>
    <row r="379" ht="15.75" customHeight="1">
      <c r="A379" s="23"/>
      <c r="E379" s="23"/>
      <c r="H379" s="23" t="str">
        <f t="shared" si="2"/>
        <v/>
      </c>
    </row>
    <row r="380" ht="15.75" customHeight="1">
      <c r="A380" s="23"/>
      <c r="E380" s="23"/>
      <c r="H380" s="23" t="str">
        <f t="shared" si="2"/>
        <v/>
      </c>
    </row>
    <row r="381" ht="15.75" customHeight="1">
      <c r="A381" s="23"/>
      <c r="E381" s="23"/>
      <c r="H381" s="23" t="str">
        <f t="shared" si="2"/>
        <v/>
      </c>
    </row>
    <row r="382" ht="15.75" customHeight="1">
      <c r="A382" s="23"/>
      <c r="E382" s="23"/>
      <c r="H382" s="23" t="str">
        <f t="shared" si="2"/>
        <v/>
      </c>
    </row>
    <row r="383" ht="15.75" customHeight="1">
      <c r="A383" s="23"/>
      <c r="E383" s="23"/>
      <c r="H383" s="23" t="str">
        <f t="shared" si="2"/>
        <v/>
      </c>
    </row>
    <row r="384" ht="15.75" customHeight="1">
      <c r="A384" s="23"/>
      <c r="E384" s="23"/>
      <c r="H384" s="23" t="str">
        <f t="shared" si="2"/>
        <v/>
      </c>
    </row>
    <row r="385" ht="15.75" customHeight="1">
      <c r="A385" s="23"/>
      <c r="E385" s="23"/>
      <c r="H385" s="23" t="str">
        <f t="shared" si="2"/>
        <v/>
      </c>
    </row>
    <row r="386" ht="15.75" customHeight="1">
      <c r="A386" s="23"/>
      <c r="E386" s="23"/>
      <c r="H386" s="23" t="str">
        <f t="shared" si="2"/>
        <v/>
      </c>
    </row>
    <row r="387" ht="15.75" customHeight="1">
      <c r="A387" s="23"/>
      <c r="E387" s="23"/>
      <c r="H387" s="23" t="str">
        <f t="shared" si="2"/>
        <v/>
      </c>
    </row>
    <row r="388" ht="15.75" customHeight="1">
      <c r="A388" s="23"/>
      <c r="E388" s="23"/>
      <c r="H388" s="23" t="str">
        <f t="shared" si="2"/>
        <v/>
      </c>
    </row>
    <row r="389" ht="15.75" customHeight="1">
      <c r="A389" s="23"/>
      <c r="E389" s="23"/>
      <c r="H389" s="23" t="str">
        <f t="shared" si="2"/>
        <v/>
      </c>
    </row>
    <row r="390" ht="15.75" customHeight="1">
      <c r="A390" s="23"/>
      <c r="E390" s="23"/>
      <c r="H390" s="23" t="str">
        <f t="shared" si="2"/>
        <v/>
      </c>
    </row>
    <row r="391" ht="15.75" customHeight="1">
      <c r="A391" s="23"/>
      <c r="E391" s="23"/>
      <c r="H391" s="23" t="str">
        <f t="shared" si="2"/>
        <v/>
      </c>
    </row>
    <row r="392" ht="15.75" customHeight="1">
      <c r="A392" s="23"/>
      <c r="E392" s="23"/>
      <c r="H392" s="23" t="str">
        <f t="shared" si="2"/>
        <v/>
      </c>
    </row>
    <row r="393" ht="15.75" customHeight="1">
      <c r="A393" s="23"/>
      <c r="E393" s="23"/>
      <c r="H393" s="23" t="str">
        <f t="shared" si="2"/>
        <v/>
      </c>
    </row>
    <row r="394" ht="15.75" customHeight="1">
      <c r="A394" s="23"/>
      <c r="E394" s="23"/>
      <c r="H394" s="23" t="str">
        <f t="shared" si="2"/>
        <v/>
      </c>
    </row>
    <row r="395" ht="15.75" customHeight="1">
      <c r="A395" s="23"/>
      <c r="E395" s="23"/>
      <c r="H395" s="23" t="str">
        <f t="shared" si="2"/>
        <v/>
      </c>
    </row>
    <row r="396" ht="15.75" customHeight="1">
      <c r="A396" s="23"/>
      <c r="E396" s="23"/>
      <c r="H396" s="23" t="str">
        <f t="shared" si="2"/>
        <v/>
      </c>
    </row>
    <row r="397" ht="15.75" customHeight="1">
      <c r="A397" s="23"/>
      <c r="E397" s="23"/>
      <c r="H397" s="23" t="str">
        <f t="shared" si="2"/>
        <v/>
      </c>
    </row>
    <row r="398" ht="15.75" customHeight="1">
      <c r="A398" s="23"/>
      <c r="E398" s="23"/>
      <c r="H398" s="23" t="str">
        <f t="shared" si="2"/>
        <v/>
      </c>
    </row>
    <row r="399" ht="15.75" customHeight="1">
      <c r="A399" s="23"/>
      <c r="E399" s="23"/>
      <c r="H399" s="23" t="str">
        <f t="shared" si="2"/>
        <v/>
      </c>
    </row>
    <row r="400" ht="15.75" customHeight="1">
      <c r="A400" s="23"/>
      <c r="E400" s="23"/>
      <c r="H400" s="23" t="str">
        <f t="shared" si="2"/>
        <v/>
      </c>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A2:A400">
      <formula1>"General Conditions &amp; Project Management,Selective Demolition,Framing,Windows &amp; Exterior Openings,Plumbing &amp; Waste Pump System,Electrical,HVAC - 3 Zone Mini Split,Insulation &amp; Air Sealing,Drywall &amp; Finishing,Suspended Ceiling System,Interior Doors,Trim &amp; H"&amp;"ardware,Flooring,Painting,Master Bathroom,Kitchen,Cleanup &amp; Closeout"</formula1>
    </dataValidation>
    <dataValidation type="list" allowBlank="1" sqref="E2:E400">
      <formula1>"ea,lf,sf,sheet,lot,gal,bag,box,roll,set,pair,day"</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0"/>
    <col customWidth="1" min="2" max="2" width="34.0"/>
    <col customWidth="1" min="3" max="6" width="12.0"/>
    <col customWidth="1" min="7" max="7" width="34.0"/>
    <col customWidth="1" min="8" max="26" width="8.63"/>
  </cols>
  <sheetData>
    <row r="1">
      <c r="A1" s="4" t="s">
        <v>0</v>
      </c>
      <c r="B1" s="4" t="s">
        <v>5</v>
      </c>
      <c r="C1" s="4" t="s">
        <v>7</v>
      </c>
      <c r="D1" s="4" t="s">
        <v>9</v>
      </c>
      <c r="E1" s="4" t="s">
        <v>10</v>
      </c>
      <c r="F1" s="4" t="s">
        <v>14</v>
      </c>
      <c r="G1" s="4" t="s">
        <v>11</v>
      </c>
    </row>
    <row r="2">
      <c r="A2" s="9" t="s">
        <v>23</v>
      </c>
      <c r="B2" s="9" t="s">
        <v>26</v>
      </c>
      <c r="C2" s="12">
        <v>3.0</v>
      </c>
      <c r="D2" s="9" t="s">
        <v>32</v>
      </c>
      <c r="E2" s="16">
        <v>450.0</v>
      </c>
      <c r="F2" s="16">
        <f t="shared" ref="F2:F4" si="1">IF(OR($A2="",$C2=""),"",$C2*$E2)</f>
        <v>1350</v>
      </c>
      <c r="G2" s="9" t="s">
        <v>39</v>
      </c>
    </row>
    <row r="3">
      <c r="A3" s="9" t="s">
        <v>43</v>
      </c>
      <c r="B3" s="9" t="s">
        <v>46</v>
      </c>
      <c r="C3" s="12">
        <v>1.0</v>
      </c>
      <c r="D3" s="9" t="s">
        <v>48</v>
      </c>
      <c r="E3" s="16">
        <v>95.0</v>
      </c>
      <c r="F3" s="16">
        <f t="shared" si="1"/>
        <v>95</v>
      </c>
      <c r="G3" s="9" t="s">
        <v>49</v>
      </c>
    </row>
    <row r="4">
      <c r="A4" s="9" t="s">
        <v>51</v>
      </c>
      <c r="B4" s="9" t="s">
        <v>52</v>
      </c>
      <c r="C4" s="12">
        <v>2.0</v>
      </c>
      <c r="D4" s="9" t="s">
        <v>48</v>
      </c>
      <c r="E4" s="16">
        <v>180.0</v>
      </c>
      <c r="F4" s="16">
        <f t="shared" si="1"/>
        <v>360</v>
      </c>
      <c r="G4" s="9" t="s">
        <v>54</v>
      </c>
    </row>
    <row r="5">
      <c r="A5" s="9"/>
      <c r="B5" s="9"/>
      <c r="C5" s="12"/>
      <c r="D5" s="9"/>
      <c r="E5" s="16"/>
      <c r="F5" s="16" t="str">
        <f t="shared" ref="F5:F200" si="2">IF(OR($A5="",$C5="",$E5=""),"",$C5*$E5)</f>
        <v/>
      </c>
      <c r="G5" s="9"/>
    </row>
    <row r="6">
      <c r="A6" s="9"/>
      <c r="B6" s="9"/>
      <c r="C6" s="12"/>
      <c r="D6" s="9"/>
      <c r="E6" s="16"/>
      <c r="F6" s="16" t="str">
        <f t="shared" si="2"/>
        <v/>
      </c>
      <c r="G6" s="9"/>
    </row>
    <row r="7">
      <c r="A7" s="9"/>
      <c r="B7" s="9"/>
      <c r="C7" s="12"/>
      <c r="D7" s="9"/>
      <c r="E7" s="16"/>
      <c r="F7" s="16" t="str">
        <f t="shared" si="2"/>
        <v/>
      </c>
      <c r="G7" s="9"/>
    </row>
    <row r="8">
      <c r="A8" s="9"/>
      <c r="B8" s="9"/>
      <c r="C8" s="12"/>
      <c r="D8" s="9"/>
      <c r="E8" s="16"/>
      <c r="F8" s="16" t="str">
        <f t="shared" si="2"/>
        <v/>
      </c>
      <c r="G8" s="9"/>
    </row>
    <row r="9">
      <c r="A9" s="9"/>
      <c r="B9" s="9"/>
      <c r="C9" s="12"/>
      <c r="D9" s="9"/>
      <c r="E9" s="16"/>
      <c r="F9" s="16" t="str">
        <f t="shared" si="2"/>
        <v/>
      </c>
      <c r="G9" s="9"/>
    </row>
    <row r="10">
      <c r="A10" s="9"/>
      <c r="B10" s="9"/>
      <c r="C10" s="12"/>
      <c r="D10" s="9"/>
      <c r="E10" s="16"/>
      <c r="F10" s="16" t="str">
        <f t="shared" si="2"/>
        <v/>
      </c>
      <c r="G10" s="9"/>
    </row>
    <row r="11">
      <c r="A11" s="20"/>
      <c r="B11" s="20"/>
      <c r="C11" s="21"/>
      <c r="D11" s="20"/>
      <c r="E11" s="22"/>
      <c r="F11" s="22" t="str">
        <f t="shared" si="2"/>
        <v/>
      </c>
      <c r="G11" s="20"/>
    </row>
    <row r="12">
      <c r="A12" s="23"/>
      <c r="D12" s="23"/>
      <c r="F12" s="23" t="str">
        <f t="shared" si="2"/>
        <v/>
      </c>
    </row>
    <row r="13">
      <c r="A13" s="23"/>
      <c r="D13" s="23"/>
      <c r="F13" s="23" t="str">
        <f t="shared" si="2"/>
        <v/>
      </c>
    </row>
    <row r="14">
      <c r="A14" s="23"/>
      <c r="D14" s="23"/>
      <c r="F14" s="23" t="str">
        <f t="shared" si="2"/>
        <v/>
      </c>
    </row>
    <row r="15">
      <c r="A15" s="23"/>
      <c r="D15" s="23"/>
      <c r="F15" s="23" t="str">
        <f t="shared" si="2"/>
        <v/>
      </c>
    </row>
    <row r="16">
      <c r="A16" s="23"/>
      <c r="D16" s="23"/>
      <c r="F16" s="23" t="str">
        <f t="shared" si="2"/>
        <v/>
      </c>
    </row>
    <row r="17">
      <c r="A17" s="23"/>
      <c r="D17" s="23"/>
      <c r="F17" s="23" t="str">
        <f t="shared" si="2"/>
        <v/>
      </c>
    </row>
    <row r="18">
      <c r="A18" s="23"/>
      <c r="D18" s="23"/>
      <c r="F18" s="23" t="str">
        <f t="shared" si="2"/>
        <v/>
      </c>
    </row>
    <row r="19">
      <c r="A19" s="23"/>
      <c r="D19" s="23"/>
      <c r="F19" s="23" t="str">
        <f t="shared" si="2"/>
        <v/>
      </c>
    </row>
    <row r="20">
      <c r="A20" s="23"/>
      <c r="D20" s="23"/>
      <c r="F20" s="23" t="str">
        <f t="shared" si="2"/>
        <v/>
      </c>
    </row>
    <row r="21" ht="15.75" customHeight="1">
      <c r="A21" s="23"/>
      <c r="D21" s="23"/>
      <c r="F21" s="23" t="str">
        <f t="shared" si="2"/>
        <v/>
      </c>
    </row>
    <row r="22" ht="15.75" customHeight="1">
      <c r="A22" s="23"/>
      <c r="D22" s="23"/>
      <c r="F22" s="23" t="str">
        <f t="shared" si="2"/>
        <v/>
      </c>
    </row>
    <row r="23" ht="15.75" customHeight="1">
      <c r="A23" s="23"/>
      <c r="D23" s="23"/>
      <c r="F23" s="23" t="str">
        <f t="shared" si="2"/>
        <v/>
      </c>
    </row>
    <row r="24" ht="15.75" customHeight="1">
      <c r="A24" s="23"/>
      <c r="D24" s="23"/>
      <c r="F24" s="23" t="str">
        <f t="shared" si="2"/>
        <v/>
      </c>
    </row>
    <row r="25" ht="15.75" customHeight="1">
      <c r="A25" s="23"/>
      <c r="D25" s="23"/>
      <c r="F25" s="23" t="str">
        <f t="shared" si="2"/>
        <v/>
      </c>
    </row>
    <row r="26" ht="15.75" customHeight="1">
      <c r="A26" s="23"/>
      <c r="D26" s="23"/>
      <c r="F26" s="23" t="str">
        <f t="shared" si="2"/>
        <v/>
      </c>
    </row>
    <row r="27" ht="15.75" customHeight="1">
      <c r="A27" s="23"/>
      <c r="D27" s="23"/>
      <c r="F27" s="23" t="str">
        <f t="shared" si="2"/>
        <v/>
      </c>
    </row>
    <row r="28" ht="15.75" customHeight="1">
      <c r="A28" s="23"/>
      <c r="D28" s="23"/>
      <c r="F28" s="23" t="str">
        <f t="shared" si="2"/>
        <v/>
      </c>
    </row>
    <row r="29" ht="15.75" customHeight="1">
      <c r="A29" s="23"/>
      <c r="D29" s="23"/>
      <c r="F29" s="23" t="str">
        <f t="shared" si="2"/>
        <v/>
      </c>
    </row>
    <row r="30" ht="15.75" customHeight="1">
      <c r="A30" s="23"/>
      <c r="D30" s="23"/>
      <c r="F30" s="23" t="str">
        <f t="shared" si="2"/>
        <v/>
      </c>
    </row>
    <row r="31" ht="15.75" customHeight="1">
      <c r="A31" s="23"/>
      <c r="D31" s="23"/>
      <c r="F31" s="23" t="str">
        <f t="shared" si="2"/>
        <v/>
      </c>
    </row>
    <row r="32" ht="15.75" customHeight="1">
      <c r="A32" s="23"/>
      <c r="D32" s="23"/>
      <c r="F32" s="23" t="str">
        <f t="shared" si="2"/>
        <v/>
      </c>
    </row>
    <row r="33" ht="15.75" customHeight="1">
      <c r="A33" s="23"/>
      <c r="D33" s="23"/>
      <c r="F33" s="23" t="str">
        <f t="shared" si="2"/>
        <v/>
      </c>
    </row>
    <row r="34" ht="15.75" customHeight="1">
      <c r="A34" s="23"/>
      <c r="D34" s="23"/>
      <c r="F34" s="23" t="str">
        <f t="shared" si="2"/>
        <v/>
      </c>
    </row>
    <row r="35" ht="15.75" customHeight="1">
      <c r="A35" s="23"/>
      <c r="D35" s="23"/>
      <c r="F35" s="23" t="str">
        <f t="shared" si="2"/>
        <v/>
      </c>
    </row>
    <row r="36" ht="15.75" customHeight="1">
      <c r="A36" s="23"/>
      <c r="D36" s="23"/>
      <c r="F36" s="23" t="str">
        <f t="shared" si="2"/>
        <v/>
      </c>
    </row>
    <row r="37" ht="15.75" customHeight="1">
      <c r="A37" s="23"/>
      <c r="D37" s="23"/>
      <c r="F37" s="23" t="str">
        <f t="shared" si="2"/>
        <v/>
      </c>
    </row>
    <row r="38" ht="15.75" customHeight="1">
      <c r="A38" s="23"/>
      <c r="D38" s="23"/>
      <c r="F38" s="23" t="str">
        <f t="shared" si="2"/>
        <v/>
      </c>
    </row>
    <row r="39" ht="15.75" customHeight="1">
      <c r="A39" s="23"/>
      <c r="D39" s="23"/>
      <c r="F39" s="23" t="str">
        <f t="shared" si="2"/>
        <v/>
      </c>
    </row>
    <row r="40" ht="15.75" customHeight="1">
      <c r="A40" s="23"/>
      <c r="D40" s="23"/>
      <c r="F40" s="23" t="str">
        <f t="shared" si="2"/>
        <v/>
      </c>
    </row>
    <row r="41" ht="15.75" customHeight="1">
      <c r="A41" s="23"/>
      <c r="D41" s="23"/>
      <c r="F41" s="23" t="str">
        <f t="shared" si="2"/>
        <v/>
      </c>
    </row>
    <row r="42" ht="15.75" customHeight="1">
      <c r="A42" s="23"/>
      <c r="D42" s="23"/>
      <c r="F42" s="23" t="str">
        <f t="shared" si="2"/>
        <v/>
      </c>
    </row>
    <row r="43" ht="15.75" customHeight="1">
      <c r="A43" s="23"/>
      <c r="D43" s="23"/>
      <c r="F43" s="23" t="str">
        <f t="shared" si="2"/>
        <v/>
      </c>
    </row>
    <row r="44" ht="15.75" customHeight="1">
      <c r="A44" s="23"/>
      <c r="D44" s="23"/>
      <c r="F44" s="23" t="str">
        <f t="shared" si="2"/>
        <v/>
      </c>
    </row>
    <row r="45" ht="15.75" customHeight="1">
      <c r="A45" s="23"/>
      <c r="D45" s="23"/>
      <c r="F45" s="23" t="str">
        <f t="shared" si="2"/>
        <v/>
      </c>
    </row>
    <row r="46" ht="15.75" customHeight="1">
      <c r="A46" s="23"/>
      <c r="D46" s="23"/>
      <c r="F46" s="23" t="str">
        <f t="shared" si="2"/>
        <v/>
      </c>
    </row>
    <row r="47" ht="15.75" customHeight="1">
      <c r="A47" s="23"/>
      <c r="D47" s="23"/>
      <c r="F47" s="23" t="str">
        <f t="shared" si="2"/>
        <v/>
      </c>
    </row>
    <row r="48" ht="15.75" customHeight="1">
      <c r="A48" s="23"/>
      <c r="D48" s="23"/>
      <c r="F48" s="23" t="str">
        <f t="shared" si="2"/>
        <v/>
      </c>
    </row>
    <row r="49" ht="15.75" customHeight="1">
      <c r="A49" s="23"/>
      <c r="D49" s="23"/>
      <c r="F49" s="23" t="str">
        <f t="shared" si="2"/>
        <v/>
      </c>
    </row>
    <row r="50" ht="15.75" customHeight="1">
      <c r="A50" s="23"/>
      <c r="D50" s="23"/>
      <c r="F50" s="23" t="str">
        <f t="shared" si="2"/>
        <v/>
      </c>
    </row>
    <row r="51" ht="15.75" customHeight="1">
      <c r="A51" s="23"/>
      <c r="D51" s="23"/>
      <c r="F51" s="23" t="str">
        <f t="shared" si="2"/>
        <v/>
      </c>
    </row>
    <row r="52" ht="15.75" customHeight="1">
      <c r="A52" s="23"/>
      <c r="D52" s="23"/>
      <c r="F52" s="23" t="str">
        <f t="shared" si="2"/>
        <v/>
      </c>
    </row>
    <row r="53" ht="15.75" customHeight="1">
      <c r="A53" s="23"/>
      <c r="D53" s="23"/>
      <c r="F53" s="23" t="str">
        <f t="shared" si="2"/>
        <v/>
      </c>
    </row>
    <row r="54" ht="15.75" customHeight="1">
      <c r="A54" s="23"/>
      <c r="D54" s="23"/>
      <c r="F54" s="23" t="str">
        <f t="shared" si="2"/>
        <v/>
      </c>
    </row>
    <row r="55" ht="15.75" customHeight="1">
      <c r="A55" s="23"/>
      <c r="D55" s="23"/>
      <c r="F55" s="23" t="str">
        <f t="shared" si="2"/>
        <v/>
      </c>
    </row>
    <row r="56" ht="15.75" customHeight="1">
      <c r="A56" s="23"/>
      <c r="D56" s="23"/>
      <c r="F56" s="23" t="str">
        <f t="shared" si="2"/>
        <v/>
      </c>
    </row>
    <row r="57" ht="15.75" customHeight="1">
      <c r="A57" s="23"/>
      <c r="D57" s="23"/>
      <c r="F57" s="23" t="str">
        <f t="shared" si="2"/>
        <v/>
      </c>
    </row>
    <row r="58" ht="15.75" customHeight="1">
      <c r="A58" s="23"/>
      <c r="D58" s="23"/>
      <c r="F58" s="23" t="str">
        <f t="shared" si="2"/>
        <v/>
      </c>
    </row>
    <row r="59" ht="15.75" customHeight="1">
      <c r="A59" s="23"/>
      <c r="D59" s="23"/>
      <c r="F59" s="23" t="str">
        <f t="shared" si="2"/>
        <v/>
      </c>
    </row>
    <row r="60" ht="15.75" customHeight="1">
      <c r="A60" s="23"/>
      <c r="D60" s="23"/>
      <c r="F60" s="23" t="str">
        <f t="shared" si="2"/>
        <v/>
      </c>
    </row>
    <row r="61" ht="15.75" customHeight="1">
      <c r="A61" s="23"/>
      <c r="D61" s="23"/>
      <c r="F61" s="23" t="str">
        <f t="shared" si="2"/>
        <v/>
      </c>
    </row>
    <row r="62" ht="15.75" customHeight="1">
      <c r="A62" s="23"/>
      <c r="D62" s="23"/>
      <c r="F62" s="23" t="str">
        <f t="shared" si="2"/>
        <v/>
      </c>
    </row>
    <row r="63" ht="15.75" customHeight="1">
      <c r="A63" s="23"/>
      <c r="D63" s="23"/>
      <c r="F63" s="23" t="str">
        <f t="shared" si="2"/>
        <v/>
      </c>
    </row>
    <row r="64" ht="15.75" customHeight="1">
      <c r="A64" s="23"/>
      <c r="D64" s="23"/>
      <c r="F64" s="23" t="str">
        <f t="shared" si="2"/>
        <v/>
      </c>
    </row>
    <row r="65" ht="15.75" customHeight="1">
      <c r="A65" s="23"/>
      <c r="D65" s="23"/>
      <c r="F65" s="23" t="str">
        <f t="shared" si="2"/>
        <v/>
      </c>
    </row>
    <row r="66" ht="15.75" customHeight="1">
      <c r="A66" s="23"/>
      <c r="D66" s="23"/>
      <c r="F66" s="23" t="str">
        <f t="shared" si="2"/>
        <v/>
      </c>
    </row>
    <row r="67" ht="15.75" customHeight="1">
      <c r="A67" s="23"/>
      <c r="D67" s="23"/>
      <c r="F67" s="23" t="str">
        <f t="shared" si="2"/>
        <v/>
      </c>
    </row>
    <row r="68" ht="15.75" customHeight="1">
      <c r="A68" s="23"/>
      <c r="D68" s="23"/>
      <c r="F68" s="23" t="str">
        <f t="shared" si="2"/>
        <v/>
      </c>
    </row>
    <row r="69" ht="15.75" customHeight="1">
      <c r="A69" s="23"/>
      <c r="D69" s="23"/>
      <c r="F69" s="23" t="str">
        <f t="shared" si="2"/>
        <v/>
      </c>
    </row>
    <row r="70" ht="15.75" customHeight="1">
      <c r="A70" s="23"/>
      <c r="D70" s="23"/>
      <c r="F70" s="23" t="str">
        <f t="shared" si="2"/>
        <v/>
      </c>
    </row>
    <row r="71" ht="15.75" customHeight="1">
      <c r="A71" s="23"/>
      <c r="D71" s="23"/>
      <c r="F71" s="23" t="str">
        <f t="shared" si="2"/>
        <v/>
      </c>
    </row>
    <row r="72" ht="15.75" customHeight="1">
      <c r="A72" s="23"/>
      <c r="D72" s="23"/>
      <c r="F72" s="23" t="str">
        <f t="shared" si="2"/>
        <v/>
      </c>
    </row>
    <row r="73" ht="15.75" customHeight="1">
      <c r="A73" s="23"/>
      <c r="D73" s="23"/>
      <c r="F73" s="23" t="str">
        <f t="shared" si="2"/>
        <v/>
      </c>
    </row>
    <row r="74" ht="15.75" customHeight="1">
      <c r="A74" s="23"/>
      <c r="D74" s="23"/>
      <c r="F74" s="23" t="str">
        <f t="shared" si="2"/>
        <v/>
      </c>
    </row>
    <row r="75" ht="15.75" customHeight="1">
      <c r="A75" s="23"/>
      <c r="D75" s="23"/>
      <c r="F75" s="23" t="str">
        <f t="shared" si="2"/>
        <v/>
      </c>
    </row>
    <row r="76" ht="15.75" customHeight="1">
      <c r="A76" s="23"/>
      <c r="D76" s="23"/>
      <c r="F76" s="23" t="str">
        <f t="shared" si="2"/>
        <v/>
      </c>
    </row>
    <row r="77" ht="15.75" customHeight="1">
      <c r="A77" s="23"/>
      <c r="D77" s="23"/>
      <c r="F77" s="23" t="str">
        <f t="shared" si="2"/>
        <v/>
      </c>
    </row>
    <row r="78" ht="15.75" customHeight="1">
      <c r="A78" s="23"/>
      <c r="D78" s="23"/>
      <c r="F78" s="23" t="str">
        <f t="shared" si="2"/>
        <v/>
      </c>
    </row>
    <row r="79" ht="15.75" customHeight="1">
      <c r="A79" s="23"/>
      <c r="D79" s="23"/>
      <c r="F79" s="23" t="str">
        <f t="shared" si="2"/>
        <v/>
      </c>
    </row>
    <row r="80" ht="15.75" customHeight="1">
      <c r="A80" s="23"/>
      <c r="D80" s="23"/>
      <c r="F80" s="23" t="str">
        <f t="shared" si="2"/>
        <v/>
      </c>
    </row>
    <row r="81" ht="15.75" customHeight="1">
      <c r="A81" s="23"/>
      <c r="D81" s="23"/>
      <c r="F81" s="23" t="str">
        <f t="shared" si="2"/>
        <v/>
      </c>
    </row>
    <row r="82" ht="15.75" customHeight="1">
      <c r="A82" s="23"/>
      <c r="D82" s="23"/>
      <c r="F82" s="23" t="str">
        <f t="shared" si="2"/>
        <v/>
      </c>
    </row>
    <row r="83" ht="15.75" customHeight="1">
      <c r="A83" s="23"/>
      <c r="D83" s="23"/>
      <c r="F83" s="23" t="str">
        <f t="shared" si="2"/>
        <v/>
      </c>
    </row>
    <row r="84" ht="15.75" customHeight="1">
      <c r="A84" s="23"/>
      <c r="D84" s="23"/>
      <c r="F84" s="23" t="str">
        <f t="shared" si="2"/>
        <v/>
      </c>
    </row>
    <row r="85" ht="15.75" customHeight="1">
      <c r="A85" s="23"/>
      <c r="D85" s="23"/>
      <c r="F85" s="23" t="str">
        <f t="shared" si="2"/>
        <v/>
      </c>
    </row>
    <row r="86" ht="15.75" customHeight="1">
      <c r="A86" s="23"/>
      <c r="D86" s="23"/>
      <c r="F86" s="23" t="str">
        <f t="shared" si="2"/>
        <v/>
      </c>
    </row>
    <row r="87" ht="15.75" customHeight="1">
      <c r="A87" s="23"/>
      <c r="D87" s="23"/>
      <c r="F87" s="23" t="str">
        <f t="shared" si="2"/>
        <v/>
      </c>
    </row>
    <row r="88" ht="15.75" customHeight="1">
      <c r="A88" s="23"/>
      <c r="D88" s="23"/>
      <c r="F88" s="23" t="str">
        <f t="shared" si="2"/>
        <v/>
      </c>
    </row>
    <row r="89" ht="15.75" customHeight="1">
      <c r="A89" s="23"/>
      <c r="D89" s="23"/>
      <c r="F89" s="23" t="str">
        <f t="shared" si="2"/>
        <v/>
      </c>
    </row>
    <row r="90" ht="15.75" customHeight="1">
      <c r="A90" s="23"/>
      <c r="D90" s="23"/>
      <c r="F90" s="23" t="str">
        <f t="shared" si="2"/>
        <v/>
      </c>
    </row>
    <row r="91" ht="15.75" customHeight="1">
      <c r="A91" s="23"/>
      <c r="D91" s="23"/>
      <c r="F91" s="23" t="str">
        <f t="shared" si="2"/>
        <v/>
      </c>
    </row>
    <row r="92" ht="15.75" customHeight="1">
      <c r="A92" s="23"/>
      <c r="D92" s="23"/>
      <c r="F92" s="23" t="str">
        <f t="shared" si="2"/>
        <v/>
      </c>
    </row>
    <row r="93" ht="15.75" customHeight="1">
      <c r="A93" s="23"/>
      <c r="D93" s="23"/>
      <c r="F93" s="23" t="str">
        <f t="shared" si="2"/>
        <v/>
      </c>
    </row>
    <row r="94" ht="15.75" customHeight="1">
      <c r="A94" s="23"/>
      <c r="D94" s="23"/>
      <c r="F94" s="23" t="str">
        <f t="shared" si="2"/>
        <v/>
      </c>
    </row>
    <row r="95" ht="15.75" customHeight="1">
      <c r="A95" s="23"/>
      <c r="D95" s="23"/>
      <c r="F95" s="23" t="str">
        <f t="shared" si="2"/>
        <v/>
      </c>
    </row>
    <row r="96" ht="15.75" customHeight="1">
      <c r="A96" s="23"/>
      <c r="D96" s="23"/>
      <c r="F96" s="23" t="str">
        <f t="shared" si="2"/>
        <v/>
      </c>
    </row>
    <row r="97" ht="15.75" customHeight="1">
      <c r="A97" s="23"/>
      <c r="D97" s="23"/>
      <c r="F97" s="23" t="str">
        <f t="shared" si="2"/>
        <v/>
      </c>
    </row>
    <row r="98" ht="15.75" customHeight="1">
      <c r="A98" s="23"/>
      <c r="D98" s="23"/>
      <c r="F98" s="23" t="str">
        <f t="shared" si="2"/>
        <v/>
      </c>
    </row>
    <row r="99" ht="15.75" customHeight="1">
      <c r="A99" s="23"/>
      <c r="D99" s="23"/>
      <c r="F99" s="23" t="str">
        <f t="shared" si="2"/>
        <v/>
      </c>
    </row>
    <row r="100" ht="15.75" customHeight="1">
      <c r="A100" s="23"/>
      <c r="D100" s="23"/>
      <c r="F100" s="23" t="str">
        <f t="shared" si="2"/>
        <v/>
      </c>
    </row>
    <row r="101" ht="15.75" customHeight="1">
      <c r="A101" s="23"/>
      <c r="D101" s="23"/>
      <c r="F101" s="23" t="str">
        <f t="shared" si="2"/>
        <v/>
      </c>
    </row>
    <row r="102" ht="15.75" customHeight="1">
      <c r="A102" s="23"/>
      <c r="D102" s="23"/>
      <c r="F102" s="23" t="str">
        <f t="shared" si="2"/>
        <v/>
      </c>
    </row>
    <row r="103" ht="15.75" customHeight="1">
      <c r="A103" s="23"/>
      <c r="D103" s="23"/>
      <c r="F103" s="23" t="str">
        <f t="shared" si="2"/>
        <v/>
      </c>
    </row>
    <row r="104" ht="15.75" customHeight="1">
      <c r="A104" s="23"/>
      <c r="D104" s="23"/>
      <c r="F104" s="23" t="str">
        <f t="shared" si="2"/>
        <v/>
      </c>
    </row>
    <row r="105" ht="15.75" customHeight="1">
      <c r="A105" s="23"/>
      <c r="D105" s="23"/>
      <c r="F105" s="23" t="str">
        <f t="shared" si="2"/>
        <v/>
      </c>
    </row>
    <row r="106" ht="15.75" customHeight="1">
      <c r="A106" s="23"/>
      <c r="D106" s="23"/>
      <c r="F106" s="23" t="str">
        <f t="shared" si="2"/>
        <v/>
      </c>
    </row>
    <row r="107" ht="15.75" customHeight="1">
      <c r="A107" s="23"/>
      <c r="D107" s="23"/>
      <c r="F107" s="23" t="str">
        <f t="shared" si="2"/>
        <v/>
      </c>
    </row>
    <row r="108" ht="15.75" customHeight="1">
      <c r="A108" s="23"/>
      <c r="D108" s="23"/>
      <c r="F108" s="23" t="str">
        <f t="shared" si="2"/>
        <v/>
      </c>
    </row>
    <row r="109" ht="15.75" customHeight="1">
      <c r="A109" s="23"/>
      <c r="D109" s="23"/>
      <c r="F109" s="23" t="str">
        <f t="shared" si="2"/>
        <v/>
      </c>
    </row>
    <row r="110" ht="15.75" customHeight="1">
      <c r="A110" s="23"/>
      <c r="D110" s="23"/>
      <c r="F110" s="23" t="str">
        <f t="shared" si="2"/>
        <v/>
      </c>
    </row>
    <row r="111" ht="15.75" customHeight="1">
      <c r="A111" s="23"/>
      <c r="D111" s="23"/>
      <c r="F111" s="23" t="str">
        <f t="shared" si="2"/>
        <v/>
      </c>
    </row>
    <row r="112" ht="15.75" customHeight="1">
      <c r="A112" s="23"/>
      <c r="D112" s="23"/>
      <c r="F112" s="23" t="str">
        <f t="shared" si="2"/>
        <v/>
      </c>
    </row>
    <row r="113" ht="15.75" customHeight="1">
      <c r="A113" s="23"/>
      <c r="D113" s="23"/>
      <c r="F113" s="23" t="str">
        <f t="shared" si="2"/>
        <v/>
      </c>
    </row>
    <row r="114" ht="15.75" customHeight="1">
      <c r="A114" s="23"/>
      <c r="D114" s="23"/>
      <c r="F114" s="23" t="str">
        <f t="shared" si="2"/>
        <v/>
      </c>
    </row>
    <row r="115" ht="15.75" customHeight="1">
      <c r="A115" s="23"/>
      <c r="D115" s="23"/>
      <c r="F115" s="23" t="str">
        <f t="shared" si="2"/>
        <v/>
      </c>
    </row>
    <row r="116" ht="15.75" customHeight="1">
      <c r="A116" s="23"/>
      <c r="D116" s="23"/>
      <c r="F116" s="23" t="str">
        <f t="shared" si="2"/>
        <v/>
      </c>
    </row>
    <row r="117" ht="15.75" customHeight="1">
      <c r="A117" s="23"/>
      <c r="D117" s="23"/>
      <c r="F117" s="23" t="str">
        <f t="shared" si="2"/>
        <v/>
      </c>
    </row>
    <row r="118" ht="15.75" customHeight="1">
      <c r="A118" s="23"/>
      <c r="D118" s="23"/>
      <c r="F118" s="23" t="str">
        <f t="shared" si="2"/>
        <v/>
      </c>
    </row>
    <row r="119" ht="15.75" customHeight="1">
      <c r="A119" s="23"/>
      <c r="D119" s="23"/>
      <c r="F119" s="23" t="str">
        <f t="shared" si="2"/>
        <v/>
      </c>
    </row>
    <row r="120" ht="15.75" customHeight="1">
      <c r="A120" s="23"/>
      <c r="D120" s="23"/>
      <c r="F120" s="23" t="str">
        <f t="shared" si="2"/>
        <v/>
      </c>
    </row>
    <row r="121" ht="15.75" customHeight="1">
      <c r="A121" s="23"/>
      <c r="D121" s="23"/>
      <c r="F121" s="23" t="str">
        <f t="shared" si="2"/>
        <v/>
      </c>
    </row>
    <row r="122" ht="15.75" customHeight="1">
      <c r="A122" s="23"/>
      <c r="D122" s="23"/>
      <c r="F122" s="23" t="str">
        <f t="shared" si="2"/>
        <v/>
      </c>
    </row>
    <row r="123" ht="15.75" customHeight="1">
      <c r="A123" s="23"/>
      <c r="D123" s="23"/>
      <c r="F123" s="23" t="str">
        <f t="shared" si="2"/>
        <v/>
      </c>
    </row>
    <row r="124" ht="15.75" customHeight="1">
      <c r="A124" s="23"/>
      <c r="D124" s="23"/>
      <c r="F124" s="23" t="str">
        <f t="shared" si="2"/>
        <v/>
      </c>
    </row>
    <row r="125" ht="15.75" customHeight="1">
      <c r="A125" s="23"/>
      <c r="D125" s="23"/>
      <c r="F125" s="23" t="str">
        <f t="shared" si="2"/>
        <v/>
      </c>
    </row>
    <row r="126" ht="15.75" customHeight="1">
      <c r="A126" s="23"/>
      <c r="D126" s="23"/>
      <c r="F126" s="23" t="str">
        <f t="shared" si="2"/>
        <v/>
      </c>
    </row>
    <row r="127" ht="15.75" customHeight="1">
      <c r="A127" s="23"/>
      <c r="D127" s="23"/>
      <c r="F127" s="23" t="str">
        <f t="shared" si="2"/>
        <v/>
      </c>
    </row>
    <row r="128" ht="15.75" customHeight="1">
      <c r="A128" s="23"/>
      <c r="D128" s="23"/>
      <c r="F128" s="23" t="str">
        <f t="shared" si="2"/>
        <v/>
      </c>
    </row>
    <row r="129" ht="15.75" customHeight="1">
      <c r="A129" s="23"/>
      <c r="D129" s="23"/>
      <c r="F129" s="23" t="str">
        <f t="shared" si="2"/>
        <v/>
      </c>
    </row>
    <row r="130" ht="15.75" customHeight="1">
      <c r="A130" s="23"/>
      <c r="D130" s="23"/>
      <c r="F130" s="23" t="str">
        <f t="shared" si="2"/>
        <v/>
      </c>
    </row>
    <row r="131" ht="15.75" customHeight="1">
      <c r="A131" s="23"/>
      <c r="D131" s="23"/>
      <c r="F131" s="23" t="str">
        <f t="shared" si="2"/>
        <v/>
      </c>
    </row>
    <row r="132" ht="15.75" customHeight="1">
      <c r="A132" s="23"/>
      <c r="D132" s="23"/>
      <c r="F132" s="23" t="str">
        <f t="shared" si="2"/>
        <v/>
      </c>
    </row>
    <row r="133" ht="15.75" customHeight="1">
      <c r="A133" s="23"/>
      <c r="D133" s="23"/>
      <c r="F133" s="23" t="str">
        <f t="shared" si="2"/>
        <v/>
      </c>
    </row>
    <row r="134" ht="15.75" customHeight="1">
      <c r="A134" s="23"/>
      <c r="D134" s="23"/>
      <c r="F134" s="23" t="str">
        <f t="shared" si="2"/>
        <v/>
      </c>
    </row>
    <row r="135" ht="15.75" customHeight="1">
      <c r="A135" s="23"/>
      <c r="D135" s="23"/>
      <c r="F135" s="23" t="str">
        <f t="shared" si="2"/>
        <v/>
      </c>
    </row>
    <row r="136" ht="15.75" customHeight="1">
      <c r="A136" s="23"/>
      <c r="D136" s="23"/>
      <c r="F136" s="23" t="str">
        <f t="shared" si="2"/>
        <v/>
      </c>
    </row>
    <row r="137" ht="15.75" customHeight="1">
      <c r="A137" s="23"/>
      <c r="D137" s="23"/>
      <c r="F137" s="23" t="str">
        <f t="shared" si="2"/>
        <v/>
      </c>
    </row>
    <row r="138" ht="15.75" customHeight="1">
      <c r="A138" s="23"/>
      <c r="D138" s="23"/>
      <c r="F138" s="23" t="str">
        <f t="shared" si="2"/>
        <v/>
      </c>
    </row>
    <row r="139" ht="15.75" customHeight="1">
      <c r="A139" s="23"/>
      <c r="D139" s="23"/>
      <c r="F139" s="23" t="str">
        <f t="shared" si="2"/>
        <v/>
      </c>
    </row>
    <row r="140" ht="15.75" customHeight="1">
      <c r="A140" s="23"/>
      <c r="D140" s="23"/>
      <c r="F140" s="23" t="str">
        <f t="shared" si="2"/>
        <v/>
      </c>
    </row>
    <row r="141" ht="15.75" customHeight="1">
      <c r="A141" s="23"/>
      <c r="D141" s="23"/>
      <c r="F141" s="23" t="str">
        <f t="shared" si="2"/>
        <v/>
      </c>
    </row>
    <row r="142" ht="15.75" customHeight="1">
      <c r="A142" s="23"/>
      <c r="D142" s="23"/>
      <c r="F142" s="23" t="str">
        <f t="shared" si="2"/>
        <v/>
      </c>
    </row>
    <row r="143" ht="15.75" customHeight="1">
      <c r="A143" s="23"/>
      <c r="D143" s="23"/>
      <c r="F143" s="23" t="str">
        <f t="shared" si="2"/>
        <v/>
      </c>
    </row>
    <row r="144" ht="15.75" customHeight="1">
      <c r="A144" s="23"/>
      <c r="D144" s="23"/>
      <c r="F144" s="23" t="str">
        <f t="shared" si="2"/>
        <v/>
      </c>
    </row>
    <row r="145" ht="15.75" customHeight="1">
      <c r="A145" s="23"/>
      <c r="D145" s="23"/>
      <c r="F145" s="23" t="str">
        <f t="shared" si="2"/>
        <v/>
      </c>
    </row>
    <row r="146" ht="15.75" customHeight="1">
      <c r="A146" s="23"/>
      <c r="D146" s="23"/>
      <c r="F146" s="23" t="str">
        <f t="shared" si="2"/>
        <v/>
      </c>
    </row>
    <row r="147" ht="15.75" customHeight="1">
      <c r="A147" s="23"/>
      <c r="D147" s="23"/>
      <c r="F147" s="23" t="str">
        <f t="shared" si="2"/>
        <v/>
      </c>
    </row>
    <row r="148" ht="15.75" customHeight="1">
      <c r="A148" s="23"/>
      <c r="D148" s="23"/>
      <c r="F148" s="23" t="str">
        <f t="shared" si="2"/>
        <v/>
      </c>
    </row>
    <row r="149" ht="15.75" customHeight="1">
      <c r="A149" s="23"/>
      <c r="D149" s="23"/>
      <c r="F149" s="23" t="str">
        <f t="shared" si="2"/>
        <v/>
      </c>
    </row>
    <row r="150" ht="15.75" customHeight="1">
      <c r="A150" s="23"/>
      <c r="D150" s="23"/>
      <c r="F150" s="23" t="str">
        <f t="shared" si="2"/>
        <v/>
      </c>
    </row>
    <row r="151" ht="15.75" customHeight="1">
      <c r="A151" s="23"/>
      <c r="D151" s="23"/>
      <c r="F151" s="23" t="str">
        <f t="shared" si="2"/>
        <v/>
      </c>
    </row>
    <row r="152" ht="15.75" customHeight="1">
      <c r="A152" s="23"/>
      <c r="D152" s="23"/>
      <c r="F152" s="23" t="str">
        <f t="shared" si="2"/>
        <v/>
      </c>
    </row>
    <row r="153" ht="15.75" customHeight="1">
      <c r="A153" s="23"/>
      <c r="D153" s="23"/>
      <c r="F153" s="23" t="str">
        <f t="shared" si="2"/>
        <v/>
      </c>
    </row>
    <row r="154" ht="15.75" customHeight="1">
      <c r="A154" s="23"/>
      <c r="D154" s="23"/>
      <c r="F154" s="23" t="str">
        <f t="shared" si="2"/>
        <v/>
      </c>
    </row>
    <row r="155" ht="15.75" customHeight="1">
      <c r="A155" s="23"/>
      <c r="D155" s="23"/>
      <c r="F155" s="23" t="str">
        <f t="shared" si="2"/>
        <v/>
      </c>
    </row>
    <row r="156" ht="15.75" customHeight="1">
      <c r="A156" s="23"/>
      <c r="D156" s="23"/>
      <c r="F156" s="23" t="str">
        <f t="shared" si="2"/>
        <v/>
      </c>
    </row>
    <row r="157" ht="15.75" customHeight="1">
      <c r="A157" s="23"/>
      <c r="D157" s="23"/>
      <c r="F157" s="23" t="str">
        <f t="shared" si="2"/>
        <v/>
      </c>
    </row>
    <row r="158" ht="15.75" customHeight="1">
      <c r="A158" s="23"/>
      <c r="D158" s="23"/>
      <c r="F158" s="23" t="str">
        <f t="shared" si="2"/>
        <v/>
      </c>
    </row>
    <row r="159" ht="15.75" customHeight="1">
      <c r="A159" s="23"/>
      <c r="D159" s="23"/>
      <c r="F159" s="23" t="str">
        <f t="shared" si="2"/>
        <v/>
      </c>
    </row>
    <row r="160" ht="15.75" customHeight="1">
      <c r="A160" s="23"/>
      <c r="D160" s="23"/>
      <c r="F160" s="23" t="str">
        <f t="shared" si="2"/>
        <v/>
      </c>
    </row>
    <row r="161" ht="15.75" customHeight="1">
      <c r="A161" s="23"/>
      <c r="D161" s="23"/>
      <c r="F161" s="23" t="str">
        <f t="shared" si="2"/>
        <v/>
      </c>
    </row>
    <row r="162" ht="15.75" customHeight="1">
      <c r="A162" s="23"/>
      <c r="D162" s="23"/>
      <c r="F162" s="23" t="str">
        <f t="shared" si="2"/>
        <v/>
      </c>
    </row>
    <row r="163" ht="15.75" customHeight="1">
      <c r="A163" s="23"/>
      <c r="D163" s="23"/>
      <c r="F163" s="23" t="str">
        <f t="shared" si="2"/>
        <v/>
      </c>
    </row>
    <row r="164" ht="15.75" customHeight="1">
      <c r="A164" s="23"/>
      <c r="D164" s="23"/>
      <c r="F164" s="23" t="str">
        <f t="shared" si="2"/>
        <v/>
      </c>
    </row>
    <row r="165" ht="15.75" customHeight="1">
      <c r="A165" s="23"/>
      <c r="D165" s="23"/>
      <c r="F165" s="23" t="str">
        <f t="shared" si="2"/>
        <v/>
      </c>
    </row>
    <row r="166" ht="15.75" customHeight="1">
      <c r="A166" s="23"/>
      <c r="D166" s="23"/>
      <c r="F166" s="23" t="str">
        <f t="shared" si="2"/>
        <v/>
      </c>
    </row>
    <row r="167" ht="15.75" customHeight="1">
      <c r="A167" s="23"/>
      <c r="D167" s="23"/>
      <c r="F167" s="23" t="str">
        <f t="shared" si="2"/>
        <v/>
      </c>
    </row>
    <row r="168" ht="15.75" customHeight="1">
      <c r="A168" s="23"/>
      <c r="D168" s="23"/>
      <c r="F168" s="23" t="str">
        <f t="shared" si="2"/>
        <v/>
      </c>
    </row>
    <row r="169" ht="15.75" customHeight="1">
      <c r="A169" s="23"/>
      <c r="D169" s="23"/>
      <c r="F169" s="23" t="str">
        <f t="shared" si="2"/>
        <v/>
      </c>
    </row>
    <row r="170" ht="15.75" customHeight="1">
      <c r="A170" s="23"/>
      <c r="D170" s="23"/>
      <c r="F170" s="23" t="str">
        <f t="shared" si="2"/>
        <v/>
      </c>
    </row>
    <row r="171" ht="15.75" customHeight="1">
      <c r="A171" s="23"/>
      <c r="D171" s="23"/>
      <c r="F171" s="23" t="str">
        <f t="shared" si="2"/>
        <v/>
      </c>
    </row>
    <row r="172" ht="15.75" customHeight="1">
      <c r="A172" s="23"/>
      <c r="D172" s="23"/>
      <c r="F172" s="23" t="str">
        <f t="shared" si="2"/>
        <v/>
      </c>
    </row>
    <row r="173" ht="15.75" customHeight="1">
      <c r="A173" s="23"/>
      <c r="D173" s="23"/>
      <c r="F173" s="23" t="str">
        <f t="shared" si="2"/>
        <v/>
      </c>
    </row>
    <row r="174" ht="15.75" customHeight="1">
      <c r="A174" s="23"/>
      <c r="D174" s="23"/>
      <c r="F174" s="23" t="str">
        <f t="shared" si="2"/>
        <v/>
      </c>
    </row>
    <row r="175" ht="15.75" customHeight="1">
      <c r="A175" s="23"/>
      <c r="D175" s="23"/>
      <c r="F175" s="23" t="str">
        <f t="shared" si="2"/>
        <v/>
      </c>
    </row>
    <row r="176" ht="15.75" customHeight="1">
      <c r="A176" s="23"/>
      <c r="D176" s="23"/>
      <c r="F176" s="23" t="str">
        <f t="shared" si="2"/>
        <v/>
      </c>
    </row>
    <row r="177" ht="15.75" customHeight="1">
      <c r="A177" s="23"/>
      <c r="D177" s="23"/>
      <c r="F177" s="23" t="str">
        <f t="shared" si="2"/>
        <v/>
      </c>
    </row>
    <row r="178" ht="15.75" customHeight="1">
      <c r="A178" s="23"/>
      <c r="D178" s="23"/>
      <c r="F178" s="23" t="str">
        <f t="shared" si="2"/>
        <v/>
      </c>
    </row>
    <row r="179" ht="15.75" customHeight="1">
      <c r="A179" s="23"/>
      <c r="D179" s="23"/>
      <c r="F179" s="23" t="str">
        <f t="shared" si="2"/>
        <v/>
      </c>
    </row>
    <row r="180" ht="15.75" customHeight="1">
      <c r="A180" s="23"/>
      <c r="D180" s="23"/>
      <c r="F180" s="23" t="str">
        <f t="shared" si="2"/>
        <v/>
      </c>
    </row>
    <row r="181" ht="15.75" customHeight="1">
      <c r="A181" s="23"/>
      <c r="D181" s="23"/>
      <c r="F181" s="23" t="str">
        <f t="shared" si="2"/>
        <v/>
      </c>
    </row>
    <row r="182" ht="15.75" customHeight="1">
      <c r="A182" s="23"/>
      <c r="D182" s="23"/>
      <c r="F182" s="23" t="str">
        <f t="shared" si="2"/>
        <v/>
      </c>
    </row>
    <row r="183" ht="15.75" customHeight="1">
      <c r="A183" s="23"/>
      <c r="D183" s="23"/>
      <c r="F183" s="23" t="str">
        <f t="shared" si="2"/>
        <v/>
      </c>
    </row>
    <row r="184" ht="15.75" customHeight="1">
      <c r="A184" s="23"/>
      <c r="D184" s="23"/>
      <c r="F184" s="23" t="str">
        <f t="shared" si="2"/>
        <v/>
      </c>
    </row>
    <row r="185" ht="15.75" customHeight="1">
      <c r="A185" s="23"/>
      <c r="D185" s="23"/>
      <c r="F185" s="23" t="str">
        <f t="shared" si="2"/>
        <v/>
      </c>
    </row>
    <row r="186" ht="15.75" customHeight="1">
      <c r="A186" s="23"/>
      <c r="D186" s="23"/>
      <c r="F186" s="23" t="str">
        <f t="shared" si="2"/>
        <v/>
      </c>
    </row>
    <row r="187" ht="15.75" customHeight="1">
      <c r="A187" s="23"/>
      <c r="D187" s="23"/>
      <c r="F187" s="23" t="str">
        <f t="shared" si="2"/>
        <v/>
      </c>
    </row>
    <row r="188" ht="15.75" customHeight="1">
      <c r="A188" s="23"/>
      <c r="D188" s="23"/>
      <c r="F188" s="23" t="str">
        <f t="shared" si="2"/>
        <v/>
      </c>
    </row>
    <row r="189" ht="15.75" customHeight="1">
      <c r="A189" s="23"/>
      <c r="D189" s="23"/>
      <c r="F189" s="23" t="str">
        <f t="shared" si="2"/>
        <v/>
      </c>
    </row>
    <row r="190" ht="15.75" customHeight="1">
      <c r="A190" s="23"/>
      <c r="D190" s="23"/>
      <c r="F190" s="23" t="str">
        <f t="shared" si="2"/>
        <v/>
      </c>
    </row>
    <row r="191" ht="15.75" customHeight="1">
      <c r="A191" s="23"/>
      <c r="D191" s="23"/>
      <c r="F191" s="23" t="str">
        <f t="shared" si="2"/>
        <v/>
      </c>
    </row>
    <row r="192" ht="15.75" customHeight="1">
      <c r="A192" s="23"/>
      <c r="D192" s="23"/>
      <c r="F192" s="23" t="str">
        <f t="shared" si="2"/>
        <v/>
      </c>
    </row>
    <row r="193" ht="15.75" customHeight="1">
      <c r="A193" s="23"/>
      <c r="D193" s="23"/>
      <c r="F193" s="23" t="str">
        <f t="shared" si="2"/>
        <v/>
      </c>
    </row>
    <row r="194" ht="15.75" customHeight="1">
      <c r="A194" s="23"/>
      <c r="D194" s="23"/>
      <c r="F194" s="23" t="str">
        <f t="shared" si="2"/>
        <v/>
      </c>
    </row>
    <row r="195" ht="15.75" customHeight="1">
      <c r="A195" s="23"/>
      <c r="D195" s="23"/>
      <c r="F195" s="23" t="str">
        <f t="shared" si="2"/>
        <v/>
      </c>
    </row>
    <row r="196" ht="15.75" customHeight="1">
      <c r="A196" s="23"/>
      <c r="D196" s="23"/>
      <c r="F196" s="23" t="str">
        <f t="shared" si="2"/>
        <v/>
      </c>
    </row>
    <row r="197" ht="15.75" customHeight="1">
      <c r="A197" s="23"/>
      <c r="D197" s="23"/>
      <c r="F197" s="23" t="str">
        <f t="shared" si="2"/>
        <v/>
      </c>
    </row>
    <row r="198" ht="15.75" customHeight="1">
      <c r="A198" s="23"/>
      <c r="D198" s="23"/>
      <c r="F198" s="23" t="str">
        <f t="shared" si="2"/>
        <v/>
      </c>
    </row>
    <row r="199" ht="15.75" customHeight="1">
      <c r="A199" s="23"/>
      <c r="D199" s="23"/>
      <c r="F199" s="23" t="str">
        <f t="shared" si="2"/>
        <v/>
      </c>
    </row>
    <row r="200" ht="15.75" customHeight="1">
      <c r="A200" s="23"/>
      <c r="D200" s="23"/>
      <c r="F200" s="23" t="str">
        <f t="shared" si="2"/>
        <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A2:A200">
      <formula1>"General Conditions &amp; Project Management,Selective Demolition,Framing,Windows &amp; Exterior Openings,Plumbing &amp; Waste Pump System,Electrical,HVAC - 3 Zone Mini Split,Insulation &amp; Air Sealing,Drywall &amp; Finishing,Suspended Ceiling System,Interior Doors,Trim &amp; H"&amp;"ardware,Flooring,Painting,Master Bathroom,Kitchen,Cleanup &amp; Closeout"</formula1>
    </dataValidation>
    <dataValidation type="list" allowBlank="1" sqref="D2:D200">
      <formula1>"ea,lf,sf,sheet,lot,gal,bag,box,roll,set,pair,day"</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0"/>
    <col customWidth="1" min="2" max="2" width="20.0"/>
    <col customWidth="1" min="3" max="4" width="42.0"/>
    <col customWidth="1" min="5" max="26" width="8.63"/>
  </cols>
  <sheetData>
    <row r="1">
      <c r="A1" s="4" t="s">
        <v>0</v>
      </c>
      <c r="B1" s="4" t="s">
        <v>163</v>
      </c>
      <c r="C1" s="4" t="s">
        <v>164</v>
      </c>
      <c r="D1" s="4" t="s">
        <v>165</v>
      </c>
    </row>
    <row r="2">
      <c r="A2" s="9" t="s">
        <v>166</v>
      </c>
      <c r="B2" s="9" t="s">
        <v>167</v>
      </c>
      <c r="C2" s="9" t="s">
        <v>169</v>
      </c>
      <c r="D2" s="9" t="s">
        <v>171</v>
      </c>
    </row>
    <row r="3">
      <c r="A3" s="9" t="s">
        <v>172</v>
      </c>
      <c r="B3" s="9" t="s">
        <v>173</v>
      </c>
      <c r="C3" s="9" t="s">
        <v>174</v>
      </c>
      <c r="D3" s="9" t="s">
        <v>175</v>
      </c>
    </row>
    <row r="4">
      <c r="A4" s="9" t="s">
        <v>176</v>
      </c>
      <c r="B4" s="9" t="s">
        <v>177</v>
      </c>
      <c r="C4" s="9" t="s">
        <v>178</v>
      </c>
      <c r="D4" s="9" t="s">
        <v>180</v>
      </c>
    </row>
    <row r="5">
      <c r="A5" s="9" t="s">
        <v>181</v>
      </c>
      <c r="B5" s="9" t="s">
        <v>177</v>
      </c>
      <c r="C5" s="9" t="s">
        <v>184</v>
      </c>
      <c r="D5" s="9" t="s">
        <v>185</v>
      </c>
    </row>
    <row r="6">
      <c r="A6" s="9" t="s">
        <v>186</v>
      </c>
      <c r="B6" s="9" t="s">
        <v>177</v>
      </c>
      <c r="C6" s="9" t="s">
        <v>187</v>
      </c>
      <c r="D6" s="9" t="s">
        <v>188</v>
      </c>
    </row>
    <row r="7">
      <c r="A7" s="9"/>
      <c r="B7" s="9"/>
      <c r="C7" s="9"/>
      <c r="D7" s="9"/>
    </row>
    <row r="8">
      <c r="A8" s="9"/>
      <c r="B8" s="9"/>
      <c r="C8" s="9"/>
      <c r="D8" s="9"/>
    </row>
    <row r="9">
      <c r="A9" s="9"/>
      <c r="B9" s="9"/>
      <c r="C9" s="9"/>
      <c r="D9" s="9"/>
    </row>
    <row r="10">
      <c r="A10" s="9"/>
      <c r="B10" s="9"/>
      <c r="C10" s="9"/>
      <c r="D10" s="9"/>
    </row>
    <row r="11">
      <c r="A11" s="9"/>
      <c r="B11" s="9"/>
      <c r="C11" s="9"/>
      <c r="D11" s="9"/>
    </row>
    <row r="12">
      <c r="A12" s="9"/>
      <c r="B12" s="9"/>
      <c r="C12" s="9"/>
      <c r="D12" s="9"/>
    </row>
    <row r="13">
      <c r="A13" s="9"/>
      <c r="B13" s="9"/>
      <c r="C13" s="9"/>
      <c r="D13" s="9"/>
    </row>
    <row r="14">
      <c r="A14" s="9"/>
      <c r="B14" s="9"/>
      <c r="C14" s="9"/>
      <c r="D14" s="9"/>
    </row>
    <row r="15">
      <c r="A15" s="9"/>
      <c r="B15" s="9"/>
      <c r="C15" s="9"/>
      <c r="D15" s="9"/>
    </row>
    <row r="16">
      <c r="A16" s="9"/>
      <c r="B16" s="9"/>
      <c r="C16" s="9"/>
      <c r="D16" s="9"/>
    </row>
    <row r="17">
      <c r="A17" s="9"/>
      <c r="B17" s="9"/>
      <c r="C17" s="9"/>
      <c r="D17" s="9"/>
    </row>
    <row r="18">
      <c r="A18" s="23"/>
      <c r="B18" s="23"/>
    </row>
    <row r="19">
      <c r="A19" s="23"/>
      <c r="B19" s="23"/>
    </row>
    <row r="20">
      <c r="A20" s="23"/>
      <c r="B20" s="23"/>
    </row>
    <row r="21" ht="15.75" customHeight="1">
      <c r="A21" s="23"/>
      <c r="B21" s="23"/>
    </row>
    <row r="22" ht="15.75" customHeight="1">
      <c r="A22" s="23"/>
      <c r="B22" s="23"/>
    </row>
    <row r="23" ht="15.75" customHeight="1">
      <c r="A23" s="23"/>
      <c r="B23" s="23"/>
    </row>
    <row r="24" ht="15.75" customHeight="1">
      <c r="A24" s="23"/>
      <c r="B24" s="23"/>
    </row>
    <row r="25" ht="15.75" customHeight="1">
      <c r="A25" s="23"/>
      <c r="B25" s="23"/>
    </row>
    <row r="26" ht="15.75" customHeight="1">
      <c r="A26" s="23"/>
      <c r="B26" s="23"/>
    </row>
    <row r="27" ht="15.75" customHeight="1">
      <c r="A27" s="23"/>
      <c r="B27" s="23"/>
    </row>
    <row r="28" ht="15.75" customHeight="1">
      <c r="A28" s="23"/>
      <c r="B28" s="23"/>
    </row>
    <row r="29" ht="15.75" customHeight="1">
      <c r="A29" s="23"/>
      <c r="B29" s="23"/>
    </row>
    <row r="30" ht="15.75" customHeight="1">
      <c r="A30" s="23"/>
      <c r="B30" s="23"/>
    </row>
    <row r="31" ht="15.75" customHeight="1">
      <c r="A31" s="23"/>
      <c r="B31" s="23"/>
    </row>
    <row r="32" ht="15.75" customHeight="1">
      <c r="A32" s="23"/>
      <c r="B32" s="23"/>
    </row>
    <row r="33" ht="15.75" customHeight="1">
      <c r="A33" s="23"/>
      <c r="B33" s="23"/>
    </row>
    <row r="34" ht="15.75" customHeight="1">
      <c r="A34" s="23"/>
      <c r="B34" s="23"/>
    </row>
    <row r="35" ht="15.75" customHeight="1">
      <c r="A35" s="23"/>
      <c r="B35" s="23"/>
    </row>
    <row r="36" ht="15.75" customHeight="1">
      <c r="A36" s="23"/>
      <c r="B36" s="23"/>
    </row>
    <row r="37" ht="15.75" customHeight="1">
      <c r="A37" s="23"/>
      <c r="B37" s="23"/>
    </row>
    <row r="38" ht="15.75" customHeight="1">
      <c r="A38" s="23"/>
      <c r="B38" s="23"/>
    </row>
    <row r="39" ht="15.75" customHeight="1">
      <c r="A39" s="23"/>
      <c r="B39" s="23"/>
    </row>
    <row r="40" ht="15.75" customHeight="1">
      <c r="A40" s="23"/>
      <c r="B40" s="23"/>
    </row>
    <row r="41" ht="15.75" customHeight="1">
      <c r="A41" s="23"/>
      <c r="B41" s="23"/>
    </row>
    <row r="42" ht="15.75" customHeight="1">
      <c r="A42" s="23"/>
      <c r="B42" s="23"/>
    </row>
    <row r="43" ht="15.75" customHeight="1">
      <c r="A43" s="23"/>
      <c r="B43" s="23"/>
    </row>
    <row r="44" ht="15.75" customHeight="1">
      <c r="A44" s="23"/>
      <c r="B44" s="23"/>
    </row>
    <row r="45" ht="15.75" customHeight="1">
      <c r="A45" s="23"/>
      <c r="B45" s="23"/>
    </row>
    <row r="46" ht="15.75" customHeight="1">
      <c r="A46" s="23"/>
      <c r="B46" s="23"/>
    </row>
    <row r="47" ht="15.75" customHeight="1">
      <c r="A47" s="23"/>
      <c r="B47" s="23"/>
    </row>
    <row r="48" ht="15.75" customHeight="1">
      <c r="A48" s="23"/>
      <c r="B48" s="23"/>
    </row>
    <row r="49" ht="15.75" customHeight="1">
      <c r="A49" s="23"/>
      <c r="B49" s="23"/>
    </row>
    <row r="50" ht="15.75" customHeight="1">
      <c r="A50" s="23"/>
      <c r="B50" s="23"/>
    </row>
    <row r="51" ht="15.75" customHeight="1">
      <c r="A51" s="23"/>
      <c r="B51" s="23"/>
    </row>
    <row r="52" ht="15.75" customHeight="1">
      <c r="A52" s="23"/>
      <c r="B52" s="23"/>
    </row>
    <row r="53" ht="15.75" customHeight="1">
      <c r="A53" s="23"/>
      <c r="B53" s="23"/>
    </row>
    <row r="54" ht="15.75" customHeight="1">
      <c r="A54" s="23"/>
      <c r="B54" s="23"/>
    </row>
    <row r="55" ht="15.75" customHeight="1">
      <c r="A55" s="23"/>
      <c r="B55" s="23"/>
    </row>
    <row r="56" ht="15.75" customHeight="1">
      <c r="A56" s="23"/>
      <c r="B56" s="23"/>
    </row>
    <row r="57" ht="15.75" customHeight="1">
      <c r="A57" s="23"/>
      <c r="B57" s="23"/>
    </row>
    <row r="58" ht="15.75" customHeight="1">
      <c r="A58" s="23"/>
      <c r="B58" s="23"/>
    </row>
    <row r="59" ht="15.75" customHeight="1">
      <c r="A59" s="23"/>
      <c r="B59" s="23"/>
    </row>
    <row r="60" ht="15.75" customHeight="1">
      <c r="A60" s="23"/>
      <c r="B60" s="23"/>
    </row>
    <row r="61" ht="15.75" customHeight="1">
      <c r="A61" s="23"/>
      <c r="B61" s="23"/>
    </row>
    <row r="62" ht="15.75" customHeight="1">
      <c r="A62" s="23"/>
      <c r="B62" s="23"/>
    </row>
    <row r="63" ht="15.75" customHeight="1">
      <c r="A63" s="23"/>
      <c r="B63" s="23"/>
    </row>
    <row r="64" ht="15.75" customHeight="1">
      <c r="A64" s="23"/>
      <c r="B64" s="23"/>
    </row>
    <row r="65" ht="15.75" customHeight="1">
      <c r="A65" s="23"/>
      <c r="B65" s="23"/>
    </row>
    <row r="66" ht="15.75" customHeight="1">
      <c r="A66" s="23"/>
      <c r="B66" s="23"/>
    </row>
    <row r="67" ht="15.75" customHeight="1">
      <c r="A67" s="23"/>
      <c r="B67" s="23"/>
    </row>
    <row r="68" ht="15.75" customHeight="1">
      <c r="A68" s="23"/>
      <c r="B68" s="23"/>
    </row>
    <row r="69" ht="15.75" customHeight="1">
      <c r="A69" s="23"/>
      <c r="B69" s="23"/>
    </row>
    <row r="70" ht="15.75" customHeight="1">
      <c r="A70" s="23"/>
      <c r="B70" s="23"/>
    </row>
    <row r="71" ht="15.75" customHeight="1">
      <c r="A71" s="23"/>
      <c r="B71" s="23"/>
    </row>
    <row r="72" ht="15.75" customHeight="1">
      <c r="A72" s="23"/>
      <c r="B72" s="23"/>
    </row>
    <row r="73" ht="15.75" customHeight="1">
      <c r="A73" s="23"/>
      <c r="B73" s="23"/>
    </row>
    <row r="74" ht="15.75" customHeight="1">
      <c r="A74" s="23"/>
      <c r="B74" s="23"/>
    </row>
    <row r="75" ht="15.75" customHeight="1">
      <c r="A75" s="23"/>
      <c r="B75" s="23"/>
    </row>
    <row r="76" ht="15.75" customHeight="1">
      <c r="A76" s="23"/>
      <c r="B76" s="23"/>
    </row>
    <row r="77" ht="15.75" customHeight="1">
      <c r="A77" s="23"/>
      <c r="B77" s="23"/>
    </row>
    <row r="78" ht="15.75" customHeight="1">
      <c r="A78" s="23"/>
      <c r="B78" s="23"/>
    </row>
    <row r="79" ht="15.75" customHeight="1">
      <c r="A79" s="23"/>
      <c r="B79" s="23"/>
    </row>
    <row r="80" ht="15.75" customHeight="1">
      <c r="A80" s="23"/>
      <c r="B80" s="23"/>
    </row>
    <row r="81" ht="15.75" customHeight="1">
      <c r="A81" s="23"/>
      <c r="B81" s="23"/>
    </row>
    <row r="82" ht="15.75" customHeight="1">
      <c r="A82" s="23"/>
      <c r="B82" s="23"/>
    </row>
    <row r="83" ht="15.75" customHeight="1">
      <c r="A83" s="23"/>
      <c r="B83" s="23"/>
    </row>
    <row r="84" ht="15.75" customHeight="1">
      <c r="A84" s="23"/>
      <c r="B84" s="23"/>
    </row>
    <row r="85" ht="15.75" customHeight="1">
      <c r="A85" s="23"/>
      <c r="B85" s="23"/>
    </row>
    <row r="86" ht="15.75" customHeight="1">
      <c r="A86" s="23"/>
      <c r="B86" s="23"/>
    </row>
    <row r="87" ht="15.75" customHeight="1">
      <c r="A87" s="23"/>
      <c r="B87" s="23"/>
    </row>
    <row r="88" ht="15.75" customHeight="1">
      <c r="A88" s="23"/>
      <c r="B88" s="23"/>
    </row>
    <row r="89" ht="15.75" customHeight="1">
      <c r="A89" s="23"/>
      <c r="B89" s="23"/>
    </row>
    <row r="90" ht="15.75" customHeight="1">
      <c r="A90" s="23"/>
      <c r="B90" s="23"/>
    </row>
    <row r="91" ht="15.75" customHeight="1">
      <c r="A91" s="23"/>
      <c r="B91" s="23"/>
    </row>
    <row r="92" ht="15.75" customHeight="1">
      <c r="A92" s="23"/>
      <c r="B92" s="23"/>
    </row>
    <row r="93" ht="15.75" customHeight="1">
      <c r="A93" s="23"/>
      <c r="B93" s="23"/>
    </row>
    <row r="94" ht="15.75" customHeight="1">
      <c r="A94" s="23"/>
      <c r="B94" s="23"/>
    </row>
    <row r="95" ht="15.75" customHeight="1">
      <c r="A95" s="23"/>
      <c r="B95" s="23"/>
    </row>
    <row r="96" ht="15.75" customHeight="1">
      <c r="A96" s="23"/>
      <c r="B96" s="23"/>
    </row>
    <row r="97" ht="15.75" customHeight="1">
      <c r="A97" s="23"/>
      <c r="B97" s="23"/>
    </row>
    <row r="98" ht="15.75" customHeight="1">
      <c r="A98" s="23"/>
      <c r="B98" s="23"/>
    </row>
    <row r="99" ht="15.75" customHeight="1">
      <c r="A99" s="23"/>
      <c r="B99" s="23"/>
    </row>
    <row r="100" ht="15.75" customHeight="1">
      <c r="A100" s="23"/>
      <c r="B100" s="23"/>
    </row>
    <row r="101" ht="15.75" customHeight="1">
      <c r="A101" s="23"/>
      <c r="B101" s="23"/>
    </row>
    <row r="102" ht="15.75" customHeight="1">
      <c r="A102" s="23"/>
      <c r="B102" s="23"/>
    </row>
    <row r="103" ht="15.75" customHeight="1">
      <c r="A103" s="23"/>
      <c r="B103" s="23"/>
    </row>
    <row r="104" ht="15.75" customHeight="1">
      <c r="A104" s="23"/>
      <c r="B104" s="23"/>
    </row>
    <row r="105" ht="15.75" customHeight="1">
      <c r="A105" s="23"/>
      <c r="B105" s="23"/>
    </row>
    <row r="106" ht="15.75" customHeight="1">
      <c r="A106" s="23"/>
      <c r="B106" s="23"/>
    </row>
    <row r="107" ht="15.75" customHeight="1">
      <c r="A107" s="23"/>
      <c r="B107" s="23"/>
    </row>
    <row r="108" ht="15.75" customHeight="1">
      <c r="A108" s="23"/>
      <c r="B108" s="23"/>
    </row>
    <row r="109" ht="15.75" customHeight="1">
      <c r="A109" s="23"/>
      <c r="B109" s="23"/>
    </row>
    <row r="110" ht="15.75" customHeight="1">
      <c r="A110" s="23"/>
      <c r="B110" s="23"/>
    </row>
    <row r="111" ht="15.75" customHeight="1">
      <c r="A111" s="23"/>
      <c r="B111" s="23"/>
    </row>
    <row r="112" ht="15.75" customHeight="1">
      <c r="A112" s="23"/>
      <c r="B112" s="23"/>
    </row>
    <row r="113" ht="15.75" customHeight="1">
      <c r="A113" s="23"/>
      <c r="B113" s="23"/>
    </row>
    <row r="114" ht="15.75" customHeight="1">
      <c r="A114" s="23"/>
      <c r="B114" s="23"/>
    </row>
    <row r="115" ht="15.75" customHeight="1">
      <c r="A115" s="23"/>
      <c r="B115" s="23"/>
    </row>
    <row r="116" ht="15.75" customHeight="1">
      <c r="A116" s="23"/>
      <c r="B116" s="23"/>
    </row>
    <row r="117" ht="15.75" customHeight="1">
      <c r="A117" s="23"/>
      <c r="B117" s="23"/>
    </row>
    <row r="118" ht="15.75" customHeight="1">
      <c r="A118" s="23"/>
      <c r="B118" s="23"/>
    </row>
    <row r="119" ht="15.75" customHeight="1">
      <c r="A119" s="23"/>
      <c r="B119" s="23"/>
    </row>
    <row r="120" ht="15.75" customHeight="1">
      <c r="A120" s="23"/>
      <c r="B120" s="23"/>
    </row>
    <row r="121" ht="15.75" customHeight="1">
      <c r="A121" s="23"/>
      <c r="B121" s="23"/>
    </row>
    <row r="122" ht="15.75" customHeight="1">
      <c r="A122" s="23"/>
      <c r="B122" s="23"/>
    </row>
    <row r="123" ht="15.75" customHeight="1">
      <c r="A123" s="23"/>
      <c r="B123" s="23"/>
    </row>
    <row r="124" ht="15.75" customHeight="1">
      <c r="A124" s="23"/>
      <c r="B124" s="23"/>
    </row>
    <row r="125" ht="15.75" customHeight="1">
      <c r="A125" s="23"/>
      <c r="B125" s="23"/>
    </row>
    <row r="126" ht="15.75" customHeight="1">
      <c r="A126" s="23"/>
      <c r="B126" s="23"/>
    </row>
    <row r="127" ht="15.75" customHeight="1">
      <c r="A127" s="23"/>
      <c r="B127" s="23"/>
    </row>
    <row r="128" ht="15.75" customHeight="1">
      <c r="A128" s="23"/>
      <c r="B128" s="23"/>
    </row>
    <row r="129" ht="15.75" customHeight="1">
      <c r="A129" s="23"/>
      <c r="B129" s="23"/>
    </row>
    <row r="130" ht="15.75" customHeight="1">
      <c r="A130" s="23"/>
      <c r="B130" s="23"/>
    </row>
    <row r="131" ht="15.75" customHeight="1">
      <c r="A131" s="23"/>
      <c r="B131" s="23"/>
    </row>
    <row r="132" ht="15.75" customHeight="1">
      <c r="A132" s="23"/>
      <c r="B132" s="23"/>
    </row>
    <row r="133" ht="15.75" customHeight="1">
      <c r="A133" s="23"/>
      <c r="B133" s="23"/>
    </row>
    <row r="134" ht="15.75" customHeight="1">
      <c r="A134" s="23"/>
      <c r="B134" s="23"/>
    </row>
    <row r="135" ht="15.75" customHeight="1">
      <c r="A135" s="23"/>
      <c r="B135" s="23"/>
    </row>
    <row r="136" ht="15.75" customHeight="1">
      <c r="A136" s="23"/>
      <c r="B136" s="23"/>
    </row>
    <row r="137" ht="15.75" customHeight="1">
      <c r="A137" s="23"/>
      <c r="B137" s="23"/>
    </row>
    <row r="138" ht="15.75" customHeight="1">
      <c r="A138" s="23"/>
      <c r="B138" s="23"/>
    </row>
    <row r="139" ht="15.75" customHeight="1">
      <c r="A139" s="23"/>
      <c r="B139" s="23"/>
    </row>
    <row r="140" ht="15.75" customHeight="1">
      <c r="A140" s="23"/>
      <c r="B140" s="23"/>
    </row>
    <row r="141" ht="15.75" customHeight="1">
      <c r="A141" s="23"/>
      <c r="B141" s="23"/>
    </row>
    <row r="142" ht="15.75" customHeight="1">
      <c r="A142" s="23"/>
      <c r="B142" s="23"/>
    </row>
    <row r="143" ht="15.75" customHeight="1">
      <c r="A143" s="23"/>
      <c r="B143" s="23"/>
    </row>
    <row r="144" ht="15.75" customHeight="1">
      <c r="A144" s="23"/>
      <c r="B144" s="23"/>
    </row>
    <row r="145" ht="15.75" customHeight="1">
      <c r="A145" s="23"/>
      <c r="B145" s="23"/>
    </row>
    <row r="146" ht="15.75" customHeight="1">
      <c r="A146" s="23"/>
      <c r="B146" s="23"/>
    </row>
    <row r="147" ht="15.75" customHeight="1">
      <c r="A147" s="23"/>
      <c r="B147" s="23"/>
    </row>
    <row r="148" ht="15.75" customHeight="1">
      <c r="A148" s="23"/>
      <c r="B148" s="23"/>
    </row>
    <row r="149" ht="15.75" customHeight="1">
      <c r="A149" s="23"/>
      <c r="B149" s="23"/>
    </row>
    <row r="150" ht="15.75" customHeight="1">
      <c r="A150" s="23"/>
      <c r="B150" s="23"/>
    </row>
    <row r="151" ht="15.75" customHeight="1">
      <c r="A151" s="23"/>
      <c r="B151" s="23"/>
    </row>
    <row r="152" ht="15.75" customHeight="1">
      <c r="A152" s="23"/>
      <c r="B152" s="23"/>
    </row>
    <row r="153" ht="15.75" customHeight="1">
      <c r="A153" s="23"/>
      <c r="B153" s="23"/>
    </row>
    <row r="154" ht="15.75" customHeight="1">
      <c r="A154" s="23"/>
      <c r="B154" s="23"/>
    </row>
    <row r="155" ht="15.75" customHeight="1">
      <c r="A155" s="23"/>
      <c r="B155" s="23"/>
    </row>
    <row r="156" ht="15.75" customHeight="1">
      <c r="A156" s="23"/>
      <c r="B156" s="23"/>
    </row>
    <row r="157" ht="15.75" customHeight="1">
      <c r="A157" s="23"/>
      <c r="B157" s="23"/>
    </row>
    <row r="158" ht="15.75" customHeight="1">
      <c r="A158" s="23"/>
      <c r="B158" s="23"/>
    </row>
    <row r="159" ht="15.75" customHeight="1">
      <c r="A159" s="23"/>
      <c r="B159" s="23"/>
    </row>
    <row r="160" ht="15.75" customHeight="1">
      <c r="A160" s="23"/>
      <c r="B160" s="23"/>
    </row>
    <row r="161" ht="15.75" customHeight="1">
      <c r="A161" s="23"/>
      <c r="B161" s="23"/>
    </row>
    <row r="162" ht="15.75" customHeight="1">
      <c r="A162" s="23"/>
      <c r="B162" s="23"/>
    </row>
    <row r="163" ht="15.75" customHeight="1">
      <c r="A163" s="23"/>
      <c r="B163" s="23"/>
    </row>
    <row r="164" ht="15.75" customHeight="1">
      <c r="A164" s="23"/>
      <c r="B164" s="23"/>
    </row>
    <row r="165" ht="15.75" customHeight="1">
      <c r="A165" s="23"/>
      <c r="B165" s="23"/>
    </row>
    <row r="166" ht="15.75" customHeight="1">
      <c r="A166" s="23"/>
      <c r="B166" s="23"/>
    </row>
    <row r="167" ht="15.75" customHeight="1">
      <c r="A167" s="23"/>
      <c r="B167" s="23"/>
    </row>
    <row r="168" ht="15.75" customHeight="1">
      <c r="A168" s="23"/>
      <c r="B168" s="23"/>
    </row>
    <row r="169" ht="15.75" customHeight="1">
      <c r="A169" s="23"/>
      <c r="B169" s="23"/>
    </row>
    <row r="170" ht="15.75" customHeight="1">
      <c r="A170" s="23"/>
      <c r="B170" s="23"/>
    </row>
    <row r="171" ht="15.75" customHeight="1">
      <c r="A171" s="23"/>
      <c r="B171" s="23"/>
    </row>
    <row r="172" ht="15.75" customHeight="1">
      <c r="A172" s="23"/>
      <c r="B172" s="23"/>
    </row>
    <row r="173" ht="15.75" customHeight="1">
      <c r="A173" s="23"/>
      <c r="B173" s="23"/>
    </row>
    <row r="174" ht="15.75" customHeight="1">
      <c r="A174" s="23"/>
      <c r="B174" s="23"/>
    </row>
    <row r="175" ht="15.75" customHeight="1">
      <c r="A175" s="23"/>
      <c r="B175" s="23"/>
    </row>
    <row r="176" ht="15.75" customHeight="1">
      <c r="A176" s="23"/>
      <c r="B176" s="23"/>
    </row>
    <row r="177" ht="15.75" customHeight="1">
      <c r="A177" s="23"/>
      <c r="B177" s="23"/>
    </row>
    <row r="178" ht="15.75" customHeight="1">
      <c r="A178" s="23"/>
      <c r="B178" s="23"/>
    </row>
    <row r="179" ht="15.75" customHeight="1">
      <c r="A179" s="23"/>
      <c r="B179" s="23"/>
    </row>
    <row r="180" ht="15.75" customHeight="1">
      <c r="A180" s="23"/>
      <c r="B180" s="23"/>
    </row>
    <row r="181" ht="15.75" customHeight="1">
      <c r="A181" s="23"/>
      <c r="B181" s="23"/>
    </row>
    <row r="182" ht="15.75" customHeight="1">
      <c r="A182" s="23"/>
      <c r="B182" s="23"/>
    </row>
    <row r="183" ht="15.75" customHeight="1">
      <c r="A183" s="23"/>
      <c r="B183" s="23"/>
    </row>
    <row r="184" ht="15.75" customHeight="1">
      <c r="A184" s="23"/>
      <c r="B184" s="23"/>
    </row>
    <row r="185" ht="15.75" customHeight="1">
      <c r="A185" s="23"/>
      <c r="B185" s="23"/>
    </row>
    <row r="186" ht="15.75" customHeight="1">
      <c r="A186" s="23"/>
      <c r="B186" s="23"/>
    </row>
    <row r="187" ht="15.75" customHeight="1">
      <c r="A187" s="23"/>
      <c r="B187" s="23"/>
    </row>
    <row r="188" ht="15.75" customHeight="1">
      <c r="A188" s="23"/>
      <c r="B188" s="23"/>
    </row>
    <row r="189" ht="15.75" customHeight="1">
      <c r="A189" s="23"/>
      <c r="B189" s="23"/>
    </row>
    <row r="190" ht="15.75" customHeight="1">
      <c r="A190" s="23"/>
      <c r="B190" s="23"/>
    </row>
    <row r="191" ht="15.75" customHeight="1">
      <c r="A191" s="23"/>
      <c r="B191" s="23"/>
    </row>
    <row r="192" ht="15.75" customHeight="1">
      <c r="A192" s="23"/>
      <c r="B192" s="23"/>
    </row>
    <row r="193" ht="15.75" customHeight="1">
      <c r="A193" s="23"/>
      <c r="B193" s="23"/>
    </row>
    <row r="194" ht="15.75" customHeight="1">
      <c r="A194" s="23"/>
      <c r="B194" s="23"/>
    </row>
    <row r="195" ht="15.75" customHeight="1">
      <c r="A195" s="23"/>
      <c r="B195" s="23"/>
    </row>
    <row r="196" ht="15.75" customHeight="1">
      <c r="A196" s="23"/>
      <c r="B196" s="23"/>
    </row>
    <row r="197" ht="15.75" customHeight="1">
      <c r="A197" s="23"/>
      <c r="B197" s="23"/>
    </row>
    <row r="198" ht="15.75" customHeight="1">
      <c r="A198" s="23"/>
      <c r="B198" s="23"/>
    </row>
    <row r="199" ht="15.75" customHeight="1">
      <c r="A199" s="23"/>
      <c r="B199" s="23"/>
    </row>
    <row r="200" ht="15.75" customHeight="1">
      <c r="A200" s="23"/>
      <c r="B200" s="23"/>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A2:A200">
      <formula1>"General Conditions &amp; Project Management,Selective Demolition,Framing,Windows &amp; Exterior Openings,Plumbing &amp; Waste Pump System,Electrical,HVAC - 3 Zone Mini Split,Insulation &amp; Air Sealing,Drywall &amp; Finishing,Suspended Ceiling System,Interior Doors,Trim &amp; H"&amp;"ardware,Flooring,Painting,Master Bathroom,Kitchen,Cleanup &amp; Closeout"</formula1>
    </dataValidation>
    <dataValidation type="list" allowBlank="1" sqref="B2:B200">
      <formula1>"Scope Gap,Change Order Risk,Credit Opportunity,Existing Conditions,Takeoff Assumption,Structural Risk,Coordination,Sequencing,Production Risk,Allowance Risk"</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26.0"/>
    <col customWidth="1" min="3" max="3" width="10.0"/>
    <col customWidth="1" min="4" max="4" width="34.0"/>
    <col customWidth="1" min="5" max="5" width="28.0"/>
    <col customWidth="1" min="6" max="26" width="8.63"/>
  </cols>
  <sheetData>
    <row r="1">
      <c r="A1" s="2" t="s">
        <v>229</v>
      </c>
    </row>
    <row r="2">
      <c r="A2" s="23" t="s">
        <v>231</v>
      </c>
      <c r="B2" s="23" t="s">
        <v>232</v>
      </c>
      <c r="D2" s="23" t="s">
        <v>233</v>
      </c>
      <c r="E2" s="23" t="s">
        <v>234</v>
      </c>
    </row>
    <row r="3">
      <c r="A3" s="24" t="s">
        <v>235</v>
      </c>
      <c r="B3" s="24">
        <v>430.0</v>
      </c>
      <c r="C3" s="23" t="s">
        <v>236</v>
      </c>
      <c r="D3" s="24" t="s">
        <v>237</v>
      </c>
      <c r="E3" s="24" t="s">
        <v>238</v>
      </c>
    </row>
    <row r="4">
      <c r="A4" s="3" t="s">
        <v>239</v>
      </c>
      <c r="B4" s="3">
        <v>8.0</v>
      </c>
      <c r="C4" s="23" t="s">
        <v>240</v>
      </c>
      <c r="D4" s="3" t="s">
        <v>237</v>
      </c>
      <c r="E4" s="3" t="s">
        <v>241</v>
      </c>
    </row>
    <row r="5">
      <c r="A5" s="3" t="s">
        <v>242</v>
      </c>
      <c r="B5" s="3">
        <v>8.0</v>
      </c>
      <c r="C5" s="23" t="s">
        <v>243</v>
      </c>
      <c r="D5" s="3" t="s">
        <v>245</v>
      </c>
      <c r="E5" s="3" t="s">
        <v>246</v>
      </c>
    </row>
    <row r="6">
      <c r="A6" s="3" t="s">
        <v>247</v>
      </c>
      <c r="B6" s="3" t="s">
        <v>249</v>
      </c>
      <c r="C6" s="23" t="s">
        <v>236</v>
      </c>
      <c r="D6" s="3" t="s">
        <v>250</v>
      </c>
      <c r="E6" s="3" t="s">
        <v>251</v>
      </c>
      <c r="F6" s="23" t="s">
        <v>252</v>
      </c>
    </row>
    <row r="7">
      <c r="A7" s="3" t="s">
        <v>253</v>
      </c>
      <c r="B7" s="3" t="s">
        <v>254</v>
      </c>
      <c r="D7" s="3" t="s">
        <v>255</v>
      </c>
      <c r="E7" s="3" t="s">
        <v>256</v>
      </c>
      <c r="F7" s="23" t="s">
        <v>257</v>
      </c>
    </row>
    <row r="8">
      <c r="A8" s="3" t="s">
        <v>258</v>
      </c>
      <c r="B8" s="3" t="s">
        <v>259</v>
      </c>
      <c r="C8" s="23" t="s">
        <v>32</v>
      </c>
      <c r="D8" s="3" t="s">
        <v>260</v>
      </c>
      <c r="E8" s="3" t="s">
        <v>261</v>
      </c>
      <c r="F8" s="23" t="s">
        <v>262</v>
      </c>
    </row>
    <row r="9">
      <c r="A9" s="3" t="s">
        <v>263</v>
      </c>
      <c r="B9" s="3" t="s">
        <v>264</v>
      </c>
      <c r="C9" s="23" t="s">
        <v>243</v>
      </c>
      <c r="D9" s="3" t="s">
        <v>265</v>
      </c>
      <c r="E9" s="3" t="s">
        <v>266</v>
      </c>
    </row>
    <row r="10">
      <c r="A10" s="3" t="s">
        <v>267</v>
      </c>
      <c r="B10" s="3" t="s">
        <v>268</v>
      </c>
      <c r="C10" s="23" t="s">
        <v>236</v>
      </c>
      <c r="D10" s="3" t="s">
        <v>269</v>
      </c>
      <c r="E10" s="3" t="s">
        <v>270</v>
      </c>
      <c r="F10" s="23" t="s">
        <v>271</v>
      </c>
    </row>
    <row r="11">
      <c r="A11" s="3" t="s">
        <v>272</v>
      </c>
      <c r="B11" s="3" t="s">
        <v>273</v>
      </c>
      <c r="C11" s="23" t="s">
        <v>243</v>
      </c>
      <c r="D11" s="3" t="s">
        <v>274</v>
      </c>
      <c r="E11" s="3" t="s">
        <v>270</v>
      </c>
      <c r="F11" s="23" t="s">
        <v>275</v>
      </c>
    </row>
    <row r="12">
      <c r="A12" s="3" t="s">
        <v>276</v>
      </c>
      <c r="B12" s="3" t="s">
        <v>278</v>
      </c>
      <c r="C12" s="23" t="s">
        <v>32</v>
      </c>
      <c r="D12" s="23" t="s">
        <v>279</v>
      </c>
      <c r="E12" s="23" t="s">
        <v>270</v>
      </c>
      <c r="F12" s="23" t="s">
        <v>280</v>
      </c>
    </row>
    <row r="13">
      <c r="A13" s="3" t="s">
        <v>281</v>
      </c>
      <c r="B13" s="3" t="s">
        <v>282</v>
      </c>
      <c r="C13" s="23" t="s">
        <v>47</v>
      </c>
      <c r="D13" s="23" t="s">
        <v>283</v>
      </c>
      <c r="E13" s="23" t="s">
        <v>284</v>
      </c>
      <c r="F13" s="23" t="s">
        <v>285</v>
      </c>
    </row>
    <row r="14">
      <c r="A14" s="3" t="s">
        <v>286</v>
      </c>
      <c r="B14" s="3" t="s">
        <v>287</v>
      </c>
      <c r="C14" s="23" t="s">
        <v>32</v>
      </c>
      <c r="D14" s="23" t="s">
        <v>288</v>
      </c>
      <c r="E14" s="23" t="s">
        <v>289</v>
      </c>
      <c r="F14" s="23" t="s">
        <v>290</v>
      </c>
    </row>
    <row r="15">
      <c r="A15" s="3" t="s">
        <v>292</v>
      </c>
      <c r="B15" s="3" t="s">
        <v>293</v>
      </c>
      <c r="C15" s="23" t="s">
        <v>236</v>
      </c>
      <c r="D15" s="23" t="s">
        <v>294</v>
      </c>
      <c r="E15" s="23" t="s">
        <v>295</v>
      </c>
      <c r="F15" s="23" t="s">
        <v>296</v>
      </c>
    </row>
    <row r="16">
      <c r="A16" s="3" t="s">
        <v>297</v>
      </c>
      <c r="B16" s="3" t="s">
        <v>299</v>
      </c>
      <c r="C16" s="23" t="s">
        <v>236</v>
      </c>
      <c r="D16" s="23" t="s">
        <v>300</v>
      </c>
    </row>
    <row r="17">
      <c r="A17" s="23" t="s">
        <v>301</v>
      </c>
      <c r="B17" s="23" t="s">
        <v>302</v>
      </c>
      <c r="C17" s="23" t="s">
        <v>303</v>
      </c>
      <c r="D17" s="23" t="s">
        <v>304</v>
      </c>
      <c r="F17" s="23" t="s">
        <v>305</v>
      </c>
    </row>
    <row r="18">
      <c r="A18" s="23" t="s">
        <v>306</v>
      </c>
      <c r="B18" s="23" t="s">
        <v>307</v>
      </c>
      <c r="F18" s="23" t="s">
        <v>308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99.38"/>
    <col customWidth="1" min="3" max="3" width="103.13"/>
    <col customWidth="1" min="4" max="4" width="12.75"/>
    <col customWidth="1" min="5" max="26" width="8.63"/>
  </cols>
  <sheetData>
    <row r="1" ht="16.5" customHeight="1">
      <c r="A1" s="7" t="s">
        <v>319</v>
      </c>
      <c r="B1" s="7"/>
      <c r="C1" s="7"/>
      <c r="D1" s="7"/>
    </row>
    <row r="2" ht="16.5" customHeight="1">
      <c r="A2" s="7" t="s">
        <v>12</v>
      </c>
      <c r="B2" s="7" t="s">
        <v>320</v>
      </c>
      <c r="C2" s="7" t="s">
        <v>321</v>
      </c>
      <c r="D2" s="7" t="s">
        <v>33</v>
      </c>
    </row>
    <row r="3" ht="16.5" customHeight="1">
      <c r="A3" s="3" t="s">
        <v>53</v>
      </c>
      <c r="B3" s="25">
        <v>33.95</v>
      </c>
      <c r="C3" s="3" t="s">
        <v>324</v>
      </c>
      <c r="D3" s="3" t="s">
        <v>325</v>
      </c>
    </row>
    <row r="4" ht="16.5" customHeight="1">
      <c r="A4" s="3" t="s">
        <v>45</v>
      </c>
      <c r="B4" s="25">
        <v>39.0</v>
      </c>
      <c r="C4" s="3" t="s">
        <v>326</v>
      </c>
      <c r="D4" s="3" t="s">
        <v>327</v>
      </c>
    </row>
    <row r="5" ht="16.5" customHeight="1">
      <c r="A5" s="3" t="s">
        <v>157</v>
      </c>
      <c r="B5" s="25">
        <v>39.0</v>
      </c>
      <c r="C5" s="3" t="s">
        <v>328</v>
      </c>
      <c r="D5" s="3" t="s">
        <v>330</v>
      </c>
    </row>
    <row r="6" ht="16.5" customHeight="1">
      <c r="A6" s="3" t="s">
        <v>331</v>
      </c>
      <c r="B6" s="25">
        <v>33.92</v>
      </c>
      <c r="C6" s="3" t="s">
        <v>334</v>
      </c>
      <c r="D6" s="3" t="s">
        <v>336</v>
      </c>
    </row>
    <row r="7" ht="16.5" customHeight="1">
      <c r="A7" s="3" t="s">
        <v>18</v>
      </c>
      <c r="B7" s="25">
        <v>47.87</v>
      </c>
      <c r="C7" s="3" t="s">
        <v>343</v>
      </c>
      <c r="D7" s="3" t="s">
        <v>345</v>
      </c>
    </row>
    <row r="8" ht="16.5" customHeight="1">
      <c r="A8" s="3"/>
      <c r="B8" s="3"/>
      <c r="C8" s="3"/>
      <c r="D8" s="3"/>
    </row>
    <row r="9" ht="16.5" customHeight="1">
      <c r="A9" s="7" t="s">
        <v>351</v>
      </c>
      <c r="B9" s="7" t="s">
        <v>352</v>
      </c>
      <c r="C9" s="3"/>
      <c r="D9" s="3"/>
    </row>
    <row r="10" ht="16.5" customHeight="1">
      <c r="A10" s="7" t="s">
        <v>354</v>
      </c>
      <c r="B10" s="7" t="s">
        <v>355</v>
      </c>
      <c r="C10" s="3"/>
      <c r="D1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95.0"/>
    <col customWidth="1" min="3" max="4" width="12.0"/>
    <col customWidth="1" min="5" max="26" width="8.63"/>
  </cols>
  <sheetData>
    <row r="1">
      <c r="A1" s="26" t="s">
        <v>329</v>
      </c>
    </row>
    <row r="2">
      <c r="A2" s="23" t="s">
        <v>332</v>
      </c>
      <c r="B2" s="23" t="s">
        <v>333</v>
      </c>
    </row>
    <row r="3">
      <c r="A3" s="23" t="s">
        <v>335</v>
      </c>
      <c r="B3" s="23" t="s">
        <v>337</v>
      </c>
    </row>
    <row r="4">
      <c r="A4" s="23" t="s">
        <v>338</v>
      </c>
      <c r="B4" s="23" t="s">
        <v>339</v>
      </c>
    </row>
    <row r="5">
      <c r="A5" s="23" t="s">
        <v>340</v>
      </c>
      <c r="B5" s="23" t="s">
        <v>341</v>
      </c>
    </row>
    <row r="6">
      <c r="A6" s="23" t="s">
        <v>342</v>
      </c>
      <c r="B6" s="23" t="s">
        <v>344</v>
      </c>
    </row>
    <row r="7">
      <c r="A7" s="23" t="s">
        <v>346</v>
      </c>
      <c r="B7" s="23" t="s">
        <v>347</v>
      </c>
    </row>
    <row r="8">
      <c r="A8" s="23" t="s">
        <v>348</v>
      </c>
      <c r="B8" s="23" t="s">
        <v>349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0"/>
    <col customWidth="1" min="2" max="2" width="20.0"/>
    <col customWidth="1" min="3" max="3" width="24.0"/>
    <col customWidth="1" min="4" max="4" width="12.0"/>
    <col customWidth="1" min="5" max="5" width="10.0"/>
    <col customWidth="1" min="6" max="26" width="8.63"/>
  </cols>
  <sheetData>
    <row r="1">
      <c r="A1" s="29" t="s">
        <v>362</v>
      </c>
      <c r="B1" s="29" t="s">
        <v>364</v>
      </c>
      <c r="C1" s="29" t="s">
        <v>366</v>
      </c>
      <c r="D1" s="29" t="s">
        <v>367</v>
      </c>
      <c r="E1" s="29" t="s">
        <v>368</v>
      </c>
    </row>
    <row r="2">
      <c r="A2" s="23" t="s">
        <v>369</v>
      </c>
      <c r="B2" s="23" t="s">
        <v>53</v>
      </c>
      <c r="C2" s="23" t="s">
        <v>370</v>
      </c>
      <c r="D2" s="23" t="s">
        <v>32</v>
      </c>
      <c r="E2" s="23" t="s">
        <v>371</v>
      </c>
    </row>
    <row r="3">
      <c r="A3" s="23" t="s">
        <v>372</v>
      </c>
      <c r="B3" s="23" t="s">
        <v>45</v>
      </c>
      <c r="C3" s="23" t="s">
        <v>373</v>
      </c>
      <c r="D3" s="23" t="s">
        <v>93</v>
      </c>
      <c r="E3" s="23" t="s">
        <v>374</v>
      </c>
    </row>
    <row r="4">
      <c r="A4" s="23" t="s">
        <v>375</v>
      </c>
      <c r="B4" s="23" t="s">
        <v>157</v>
      </c>
      <c r="C4" s="23" t="s">
        <v>376</v>
      </c>
      <c r="D4" s="23" t="s">
        <v>121</v>
      </c>
    </row>
    <row r="5">
      <c r="A5" s="23" t="s">
        <v>377</v>
      </c>
      <c r="B5" s="23" t="s">
        <v>331</v>
      </c>
      <c r="C5" s="23" t="s">
        <v>378</v>
      </c>
      <c r="D5" s="23" t="s">
        <v>115</v>
      </c>
    </row>
    <row r="6">
      <c r="A6" s="23" t="s">
        <v>379</v>
      </c>
      <c r="B6" s="23" t="s">
        <v>18</v>
      </c>
      <c r="C6" s="23" t="s">
        <v>380</v>
      </c>
      <c r="D6" s="23" t="s">
        <v>47</v>
      </c>
    </row>
    <row r="7">
      <c r="A7" s="23" t="s">
        <v>281</v>
      </c>
      <c r="C7" s="23" t="s">
        <v>381</v>
      </c>
      <c r="D7" s="23" t="s">
        <v>382</v>
      </c>
    </row>
    <row r="8">
      <c r="A8" s="23" t="s">
        <v>383</v>
      </c>
      <c r="C8" s="23" t="s">
        <v>384</v>
      </c>
      <c r="D8" s="23" t="s">
        <v>77</v>
      </c>
    </row>
    <row r="9">
      <c r="A9" s="23" t="s">
        <v>385</v>
      </c>
      <c r="C9" s="23" t="s">
        <v>386</v>
      </c>
      <c r="D9" s="23" t="s">
        <v>361</v>
      </c>
    </row>
    <row r="10">
      <c r="A10" s="23" t="s">
        <v>387</v>
      </c>
      <c r="C10" s="23" t="s">
        <v>177</v>
      </c>
      <c r="D10" s="23" t="s">
        <v>356</v>
      </c>
    </row>
    <row r="11">
      <c r="A11" s="23" t="s">
        <v>388</v>
      </c>
      <c r="C11" s="23" t="s">
        <v>389</v>
      </c>
      <c r="D11" s="23" t="s">
        <v>85</v>
      </c>
    </row>
    <row r="12">
      <c r="A12" s="23" t="s">
        <v>390</v>
      </c>
      <c r="D12" s="23" t="s">
        <v>391</v>
      </c>
    </row>
    <row r="13">
      <c r="A13" s="23" t="s">
        <v>392</v>
      </c>
      <c r="D13" s="23" t="s">
        <v>48</v>
      </c>
    </row>
    <row r="14">
      <c r="A14" s="23" t="s">
        <v>393</v>
      </c>
    </row>
    <row r="15">
      <c r="A15" s="23" t="s">
        <v>394</v>
      </c>
    </row>
    <row r="16">
      <c r="A16" s="23" t="s">
        <v>395</v>
      </c>
    </row>
    <row r="17">
      <c r="A17" s="23" t="s">
        <v>396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0"/>
    <col customWidth="1" min="2" max="2" width="14.0"/>
    <col customWidth="1" min="3" max="3" width="60.0"/>
    <col customWidth="1" min="4" max="26" width="8.63"/>
  </cols>
  <sheetData>
    <row r="1">
      <c r="A1" s="29" t="s">
        <v>397</v>
      </c>
      <c r="B1" s="29" t="s">
        <v>398</v>
      </c>
      <c r="C1" s="29" t="s">
        <v>399</v>
      </c>
    </row>
    <row r="2">
      <c r="A2" s="23" t="s">
        <v>369</v>
      </c>
      <c r="B2" s="23" t="s">
        <v>371</v>
      </c>
      <c r="C2" s="23" t="s">
        <v>400</v>
      </c>
    </row>
    <row r="3">
      <c r="A3" s="23" t="s">
        <v>372</v>
      </c>
      <c r="B3" s="23" t="s">
        <v>371</v>
      </c>
      <c r="C3" s="23" t="s">
        <v>401</v>
      </c>
    </row>
    <row r="4">
      <c r="A4" s="23" t="s">
        <v>375</v>
      </c>
      <c r="B4" s="23" t="s">
        <v>371</v>
      </c>
      <c r="C4" s="23" t="s">
        <v>402</v>
      </c>
    </row>
    <row r="5">
      <c r="A5" s="23" t="s">
        <v>377</v>
      </c>
      <c r="B5" s="23" t="s">
        <v>371</v>
      </c>
      <c r="C5" s="23" t="s">
        <v>403</v>
      </c>
    </row>
    <row r="6">
      <c r="A6" s="23" t="s">
        <v>379</v>
      </c>
      <c r="B6" s="23" t="s">
        <v>371</v>
      </c>
      <c r="C6" s="23" t="s">
        <v>404</v>
      </c>
    </row>
    <row r="7">
      <c r="A7" s="23" t="s">
        <v>281</v>
      </c>
      <c r="B7" s="23" t="s">
        <v>371</v>
      </c>
      <c r="C7" s="23" t="s">
        <v>405</v>
      </c>
    </row>
    <row r="8">
      <c r="A8" s="23" t="s">
        <v>383</v>
      </c>
      <c r="B8" s="23" t="s">
        <v>371</v>
      </c>
      <c r="C8" s="23" t="s">
        <v>406</v>
      </c>
    </row>
    <row r="9">
      <c r="A9" s="23" t="s">
        <v>385</v>
      </c>
      <c r="B9" s="23" t="s">
        <v>371</v>
      </c>
      <c r="C9" s="23" t="s">
        <v>407</v>
      </c>
    </row>
    <row r="10">
      <c r="A10" s="23" t="s">
        <v>387</v>
      </c>
      <c r="B10" s="23" t="s">
        <v>371</v>
      </c>
      <c r="C10" s="23" t="s">
        <v>408</v>
      </c>
    </row>
    <row r="11">
      <c r="A11" s="23" t="s">
        <v>388</v>
      </c>
      <c r="B11" s="23" t="s">
        <v>371</v>
      </c>
      <c r="C11" s="23" t="s">
        <v>409</v>
      </c>
    </row>
    <row r="12">
      <c r="A12" s="23" t="s">
        <v>390</v>
      </c>
      <c r="B12" s="23" t="s">
        <v>371</v>
      </c>
      <c r="C12" s="23" t="s">
        <v>410</v>
      </c>
    </row>
    <row r="13">
      <c r="A13" s="23" t="s">
        <v>392</v>
      </c>
      <c r="B13" s="23" t="s">
        <v>371</v>
      </c>
      <c r="C13" s="23" t="s">
        <v>411</v>
      </c>
    </row>
    <row r="14">
      <c r="A14" s="23" t="s">
        <v>393</v>
      </c>
      <c r="B14" s="23" t="s">
        <v>371</v>
      </c>
      <c r="C14" s="23" t="s">
        <v>412</v>
      </c>
    </row>
    <row r="15">
      <c r="A15" s="23" t="s">
        <v>394</v>
      </c>
      <c r="B15" s="23" t="s">
        <v>371</v>
      </c>
      <c r="C15" s="23" t="s">
        <v>413</v>
      </c>
    </row>
    <row r="16">
      <c r="A16" s="23" t="s">
        <v>395</v>
      </c>
      <c r="B16" s="23" t="s">
        <v>371</v>
      </c>
      <c r="C16" s="23" t="s">
        <v>414</v>
      </c>
    </row>
    <row r="17">
      <c r="A17" s="23" t="s">
        <v>396</v>
      </c>
      <c r="B17" s="23" t="s">
        <v>371</v>
      </c>
      <c r="C17" s="23" t="s">
        <v>415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2026-05-04T15:21:53Z</dcterms:created>
  <dc:creator>openpyxl</dc:creator>
</cp:coreProperties>
</file>