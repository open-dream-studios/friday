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age Comparison" sheetId="1" state="visible" r:id="rId3"/>
    <sheet name="Base Breakdown" sheetId="2" state="visible" r:id="rId4"/>
    <sheet name="Premium Breakdown" sheetId="3" state="visible" r:id="rId5"/>
    <sheet name="Platinum Breakdown" sheetId="4" state="visible" r:id="rId6"/>
    <sheet name="Individual Price List" sheetId="5" state="visible" r:id="rId7"/>
  </sheets>
  <definedNames>
    <definedName function="false" hidden="false" localSheetId="1" name="_xlnm.Print_Titles" vbProcedure="false">'Base Breakdown'!$1:$4</definedName>
    <definedName function="false" hidden="false" localSheetId="4" name="_xlnm.Print_Titles" vbProcedure="false">'Individual Price List'!$1:$4</definedName>
    <definedName function="false" hidden="false" localSheetId="0" name="_xlnm.Print_Titles" vbProcedure="false">'Package Comparison'!$1:$4</definedName>
    <definedName function="false" hidden="false" localSheetId="3" name="_xlnm.Print_Titles" vbProcedure="false">'Platinum Breakdown'!$1:$4</definedName>
    <definedName function="false" hidden="false" localSheetId="2" name="_xlnm.Print_Titles" vbProcedure="false">'Premium Breakdown'!$1:$4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<sst xmlns="http://schemas.openxmlformats.org/spreadsheetml/2006/main" count="458" uniqueCount="141">
  <si>
    <t xml:space="preserve">HOT TUB RESTORATION PACKAGES — MASTER COMPARISON</t>
  </si>
  <si>
    <t xml:space="preserve">Each package includes everything in the package before it. Column prices are individual shop pricing; the flat package price is at the bottom.</t>
  </si>
  <si>
    <t xml:space="preserve">#</t>
  </si>
  <si>
    <t xml:space="preserve">Category</t>
  </si>
  <si>
    <t xml:space="preserve">Line Item</t>
  </si>
  <si>
    <t xml:space="preserve">Shop
Price</t>
  </si>
  <si>
    <t xml:space="preserve">BASE
Coverage</t>
  </si>
  <si>
    <t xml:space="preserve">BASE
Value</t>
  </si>
  <si>
    <t xml:space="preserve">PREMIUM
Coverage</t>
  </si>
  <si>
    <t xml:space="preserve">PREMIUM
Value</t>
  </si>
  <si>
    <t xml:space="preserve">PLATINUM
Coverage</t>
  </si>
  <si>
    <t xml:space="preserve">PLATINUM
Value</t>
  </si>
  <si>
    <t xml:space="preserve">BASE RESTORATION — FOUNDATION ITEMS (carried into every package)</t>
  </si>
  <si>
    <t xml:space="preserve">Structural &amp; Frame</t>
  </si>
  <si>
    <t xml:space="preserve">Frame Repair</t>
  </si>
  <si>
    <t xml:space="preserve">Included</t>
  </si>
  <si>
    <t xml:space="preserve">Electronics - Pumps</t>
  </si>
  <si>
    <t xml:space="preserve">Pump Rebuild</t>
  </si>
  <si>
    <t xml:space="preserve">Replaced by Pump Replacement</t>
  </si>
  <si>
    <t xml:space="preserve">Electronics - Other</t>
  </si>
  <si>
    <t xml:space="preserve">Ozone Generator Installation</t>
  </si>
  <si>
    <t xml:space="preserve">Cleaning</t>
  </si>
  <si>
    <t xml:space="preserve">Internal Plumbing Chemical Flush</t>
  </si>
  <si>
    <t xml:space="preserve">Plumbing</t>
  </si>
  <si>
    <t xml:space="preserve">Plumbing Pressure Test (45 PSI)</t>
  </si>
  <si>
    <t xml:space="preserve">Jets</t>
  </si>
  <si>
    <t xml:space="preserve">Jet Resealing</t>
  </si>
  <si>
    <t xml:space="preserve">Up to 4 jets</t>
  </si>
  <si>
    <t xml:space="preserve">Unlimited jet resealing — Upgrade</t>
  </si>
  <si>
    <t xml:space="preserve">Trim / Accessories</t>
  </si>
  <si>
    <t xml:space="preserve">Headrest Replacement</t>
  </si>
  <si>
    <t xml:space="preserve">Upgrades</t>
  </si>
  <si>
    <t xml:space="preserve">Insulation Package</t>
  </si>
  <si>
    <t xml:space="preserve">Logistics</t>
  </si>
  <si>
    <t xml:space="preserve">On-Prop Move with Two Hours</t>
  </si>
  <si>
    <t xml:space="preserve">Union Gasket Replacement</t>
  </si>
  <si>
    <t xml:space="preserve">PREMIUM RESTORATION — ADDED ON TOP OF BASE</t>
  </si>
  <si>
    <t xml:space="preserve">Pump Replacement ($650 per pump)</t>
  </si>
  <si>
    <t xml:space="preserve">—</t>
  </si>
  <si>
    <t xml:space="preserve">1 pump included — Upgrade</t>
  </si>
  <si>
    <t xml:space="preserve">ALL pumps — no per-pump upcharge</t>
  </si>
  <si>
    <t xml:space="preserve">Electronics - Lighting</t>
  </si>
  <si>
    <t xml:space="preserve">LED Lighting Upgrade (x16 Sloan modules)</t>
  </si>
  <si>
    <t xml:space="preserve">Included — Upgrade</t>
  </si>
  <si>
    <t xml:space="preserve">Shell-Mounted</t>
  </si>
  <si>
    <t xml:space="preserve">Shell-Mounted Component Replacement</t>
  </si>
  <si>
    <t xml:space="preserve">Shell Polishing</t>
  </si>
  <si>
    <t xml:space="preserve">Refined Hardware</t>
  </si>
  <si>
    <t xml:space="preserve">Hardware Refinishing</t>
  </si>
  <si>
    <t xml:space="preserve">Side Paint &amp; Varnish</t>
  </si>
  <si>
    <t xml:space="preserve">Water Care</t>
  </si>
  <si>
    <t xml:space="preserve">FROG Water-Care System</t>
  </si>
  <si>
    <t xml:space="preserve">Rodent Protection Package</t>
  </si>
  <si>
    <t xml:space="preserve">Service</t>
  </si>
  <si>
    <t xml:space="preserve">Spa Care Subscription (per month)</t>
  </si>
  <si>
    <t xml:space="preserve">First month included</t>
  </si>
  <si>
    <t xml:space="preserve">First 3 months included</t>
  </si>
  <si>
    <t xml:space="preserve">PLATINUM RESTORATION — ADDED ON TOP OF PREMIUM</t>
  </si>
  <si>
    <t xml:space="preserve">Electronics - Controller</t>
  </si>
  <si>
    <t xml:space="preserve">Topside Controller Upgrade (Balboa SpaTouch4 Wi-Fi)</t>
  </si>
  <si>
    <t xml:space="preserve">Included — Platinum Exclusive</t>
  </si>
  <si>
    <t xml:space="preserve">Electronics - Spa Pack</t>
  </si>
  <si>
    <t xml:space="preserve">Spa Pack Upgrade (Balboa BP7, 4.0/5.5 kW)</t>
  </si>
  <si>
    <t xml:space="preserve">Electronics - Audio</t>
  </si>
  <si>
    <t xml:space="preserve">Stereo Upgrade (marine-grade + subwoofer)</t>
  </si>
  <si>
    <t xml:space="preserve">Circulation Pump Installation</t>
  </si>
  <si>
    <t xml:space="preserve">Cover</t>
  </si>
  <si>
    <t xml:space="preserve">Custom Spa Cover (double 4 mm vapor barrier)</t>
  </si>
  <si>
    <t xml:space="preserve">Warranty</t>
  </si>
  <si>
    <t xml:space="preserve">Extended Warranty Upgrade (1 year vs 90 days)</t>
  </si>
  <si>
    <t xml:space="preserve">WARRANTY &amp; COVERAGE</t>
  </si>
  <si>
    <t xml:space="preserve">Full-coverage restoration warranty</t>
  </si>
  <si>
    <t xml:space="preserve">90 days</t>
  </si>
  <si>
    <t xml:space="preserve">1 year</t>
  </si>
  <si>
    <t xml:space="preserve">PRICE WITHOUT THE RESTORATION PACKAGE (every included job bought individually)</t>
  </si>
  <si>
    <t xml:space="preserve">Step-up cost vs. the package below</t>
  </si>
  <si>
    <t xml:space="preserve">CUSTOMER PRICING — FLAT ALL-IN PACKAGE PRICE</t>
  </si>
  <si>
    <t xml:space="preserve">PRICE WITH THE RESTORATION PACKAGE</t>
  </si>
  <si>
    <t xml:space="preserve">Customer savings (without minus with)</t>
  </si>
  <si>
    <t xml:space="preserve">Savings as % of the without-package price</t>
  </si>
  <si>
    <t xml:space="preserve">Price step-up vs. the package below</t>
  </si>
  <si>
    <t xml:space="preserve">Added work value per extra dollar spent</t>
  </si>
  <si>
    <t xml:space="preserve">LEGEND — Blue text on a yellow fill = the numbers you set (package prices). Everything else is calculated.</t>
  </si>
  <si>
    <t xml:space="preserve">•  Package prices are flat and all-in: $4,100 Base / $6,300 Premium / $8,400 Platinum, covering the listed work, the warranty and round-trip transport.</t>
  </si>
  <si>
    <t xml:space="preserve">•  Each tier is cumulative: Premium = every Base item (with pumps replaced instead of rebuilt) + the Premium additions. Platinum = every Premium item + the Platinum exclusives.</t>
  </si>
  <si>
    <t xml:space="preserve">•  Pump Rebuild ($360) appears in Base only — Premium and Platinum replace the pumps outright ($650/pump) instead of rebuilding them.</t>
  </si>
  <si>
    <t xml:space="preserve">•  Spa Care Subscription is $236/month: Premium includes 1 month ($236), Platinum includes 3 months ($708).</t>
  </si>
  <si>
    <t xml:space="preserve">•  The Platinum 1-year warranty (vs 90 days) is carried at $150 of value — a placeholder. Set it to whatever you would charge to extend the warranty.</t>
  </si>
  <si>
    <t xml:space="preserve">•  Pump Replacement is $650 per pump. Base and Premium totals assume one pump (add $650 each additional); Platinum includes ALL pumps at no per-pump upcharge, valued here at two pumps.</t>
  </si>
  <si>
    <t xml:space="preserve">•  Jet Resealing: Base covers resealing of up to 4 jets at the $105 line price. Premium and Platinum include UNLIMITED jet resealing — as many jet bodies as need resealing.</t>
  </si>
  <si>
    <t xml:space="preserve">•  Source: all line items, prices, and inclusions provided by the customer (Andrew) — restoration price list, Aug 2026.</t>
  </si>
  <si>
    <t xml:space="preserve">BASE RESTORATION — LINE-ITEM BREAKDOWN</t>
  </si>
  <si>
    <t xml:space="preserve">$4,100 all-in. Essential mechanical and structural renewal. 90-day full-coverage warranty. Round-trip transport included.</t>
  </si>
  <si>
    <t xml:space="preserve">What's Covered</t>
  </si>
  <si>
    <t xml:space="preserve">Value</t>
  </si>
  <si>
    <t xml:space="preserve">EVERYTHING IN THE BASE PACKAGE</t>
  </si>
  <si>
    <t xml:space="preserve">Subtotal — Everything In The Base Package</t>
  </si>
  <si>
    <t xml:space="preserve">PRICE WITHOUT THE RESTORATION PACKAGE</t>
  </si>
  <si>
    <t xml:space="preserve">YOU SAVE</t>
  </si>
  <si>
    <t xml:space="preserve">Round-trip transportation</t>
  </si>
  <si>
    <t xml:space="preserve">PREMIUM RESTORATION — LINE-ITEM BREAKDOWN</t>
  </si>
  <si>
    <t xml:space="preserve">$6,300 all-in. Everything in Base, with pumps replaced instead of rebuilt, plus cosmetic and comfort upgrades. 90-day warranty.</t>
  </si>
  <si>
    <t xml:space="preserve">CARRIED OVER FROM BASE — all Base work is included</t>
  </si>
  <si>
    <t xml:space="preserve">Subtotal — Carried Over From Base</t>
  </si>
  <si>
    <t xml:space="preserve">ADDED AT PREMIUM — new work beyond Base</t>
  </si>
  <si>
    <t xml:space="preserve">Subtotal — Added At Premium</t>
  </si>
  <si>
    <t xml:space="preserve">PLATINUM RESTORATION — LINE-ITEM BREAKDOWN</t>
  </si>
  <si>
    <t xml:space="preserve">$8,400 all-in. Everything in Premium, plus the technology, audio, cover and circulation exclusives. 1-year warranty.</t>
  </si>
  <si>
    <t xml:space="preserve">CARRIED OVER FROM PREMIUM — all Premium work is included</t>
  </si>
  <si>
    <t xml:space="preserve">Subtotal — Carried Over From Premium</t>
  </si>
  <si>
    <t xml:space="preserve">ADDED AT PLATINUM — exclusive to this package</t>
  </si>
  <si>
    <t xml:space="preserve">Subtotal — Added At Platinum</t>
  </si>
  <si>
    <t xml:space="preserve">INDIVIDUAL SHOP PRICING — PRICES WITHOUT A PACKAGE</t>
  </si>
  <si>
    <t xml:space="preserve">What each job costs on its own, with the full customer-facing description.</t>
  </si>
  <si>
    <t xml:space="preserve">Shop Price</t>
  </si>
  <si>
    <t xml:space="preserve">Job Description</t>
  </si>
  <si>
    <t xml:space="preserve">Replace rotten frame boards with pressure-treated lumber and coat replacement boards in gloss black, water-resistant paint.</t>
  </si>
  <si>
    <t xml:space="preserve">Rebuild all pumps in the spa, including replacement of both motor bearings, ceramic shaft seal and wet-end O-rings, followed by electrical bench testing at 120V/240V and 45 PSI water-pressure testing.</t>
  </si>
  <si>
    <t xml:space="preserve">Replace spa pumps with new pumps. Premium includes one pump and quotes $650 for each additional pump; Platinum replaces every pump in the spa with no per-pump upcharge.</t>
  </si>
  <si>
    <t xml:space="preserve">Remove existing unit if applicable, install and secure new ozone generator, connect air line and check valve, complete electrical connections, and test operation and ozone delivery.</t>
  </si>
  <si>
    <t xml:space="preserve">Perform a high-pressure chemical flush to break down buildup and dead skin, kill mold, and clean the inside of the plumbing system.</t>
  </si>
  <si>
    <t xml:space="preserve">Remove jet inserts, plug jet openings with expansion plugs, pressurize plumbing to 45 PSI, inspect for leaks, and address identified leaks for a leak-free return.</t>
  </si>
  <si>
    <t xml:space="preserve">Reseal leaking jet bodies as required.</t>
  </si>
  <si>
    <t xml:space="preserve">Replace spa headrests if replacements are available for purchase.</t>
  </si>
  <si>
    <t xml:space="preserve">Install insulation package.</t>
  </si>
  <si>
    <t xml:space="preserve">Transport hot tub from customer location to shop and return restored hot tub to customer.</t>
  </si>
  <si>
    <t xml:space="preserve">Install LED lighting kit with (x16) 1-inch lenses and Sloan LED light modules.</t>
  </si>
  <si>
    <t xml:space="preserve">Replace light lenses, waterfalls, and LED cup holders as applicable.</t>
  </si>
  <si>
    <t xml:space="preserve">Professionally polish the spa shell.</t>
  </si>
  <si>
    <t xml:space="preserve">Replace plumbing union gaskets.</t>
  </si>
  <si>
    <t xml:space="preserve">Refinish suction drains, diverters, air control valves, waterfall control valves and control valve components.</t>
  </si>
  <si>
    <t xml:space="preserve">Acrylic paint and varnish — custom-color acrylic sealer paint on the cabinet sides.</t>
  </si>
  <si>
    <t xml:space="preserve">Provide and install FROG water-care system.</t>
  </si>
  <si>
    <t xml:space="preserve">Install custom rodent protection and replace spa sides.</t>
  </si>
  <si>
    <t xml:space="preserve">Professional spa care service, billed monthly.</t>
  </si>
  <si>
    <t xml:space="preserve">Install Balboa SpaTouch4 topside controller with Wi-Fi capabilities.</t>
  </si>
  <si>
    <t xml:space="preserve">Install energy-efficient Balboa BP7 spa pack with 4.0 kW or 5.5 kW heater.</t>
  </si>
  <si>
    <t xml:space="preserve">Install marine-grade stereo system with subwoofer.</t>
  </si>
  <si>
    <t xml:space="preserve">Install circulation pump.</t>
  </si>
  <si>
    <t xml:space="preserve">Provide and install a new custom-manufactured spa cover with double 4 mm vapor barrier.</t>
  </si>
  <si>
    <t xml:space="preserve">Extend the full-coverage restoration warranty from 90 days to a full year.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</si>
</sst>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—"/>
    <numFmt numFmtId="166" formatCode="\$#,##0;&quot;($&quot;#,##0\);\—"/>
    <numFmt numFmtId="167" formatCode="0.0%"/>
    <numFmt numFmtId="168" formatCode="0.0\×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0243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0243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1F7A4D"/>
      <name val="Arial"/>
      <family val="0"/>
      <charset val="1"/>
    </font>
    <font>
      <b val="true"/>
      <sz val="10"/>
      <color rgb="FF1F7A4D"/>
      <name val="Arial"/>
      <family val="0"/>
      <charset val="1"/>
    </font>
    <font>
      <b val="true"/>
      <i val="true"/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0243F"/>
        <bgColor rgb="FF333333"/>
      </patternFill>
    </fill>
    <fill>
      <patternFill patternType="solid">
        <fgColor rgb="FF12A08C"/>
        <bgColor rgb="FF1F7A4D"/>
      </patternFill>
    </fill>
    <fill>
      <patternFill patternType="solid">
        <fgColor rgb="FF274F9E"/>
        <bgColor rgb="FF0066CC"/>
      </patternFill>
    </fill>
    <fill>
      <patternFill patternType="solid">
        <fgColor rgb="FF0B7264"/>
        <bgColor rgb="FF1F7A4D"/>
      </patternFill>
    </fill>
    <fill>
      <patternFill patternType="solid">
        <fgColor rgb="FF8E5F14"/>
        <bgColor rgb="FF993300"/>
      </patternFill>
    </fill>
    <fill>
      <patternFill patternType="solid">
        <fgColor rgb="FFE8EEFB"/>
        <bgColor rgb="FFF0F2F5"/>
      </patternFill>
    </fill>
    <fill>
      <patternFill patternType="solid">
        <fgColor rgb="FFF7F7F7"/>
        <bgColor rgb="FFF7F8FA"/>
      </patternFill>
    </fill>
    <fill>
      <patternFill patternType="solid">
        <fgColor rgb="FFDDF3EF"/>
        <bgColor rgb="FFE4F2EA"/>
      </patternFill>
    </fill>
    <fill>
      <patternFill patternType="solid">
        <fgColor rgb="FFFBF1DC"/>
        <bgColor rgb="FFFFF6C9"/>
      </patternFill>
    </fill>
    <fill>
      <patternFill patternType="solid">
        <fgColor rgb="FFE7E6E6"/>
        <bgColor rgb="FFE8EEFB"/>
      </patternFill>
    </fill>
    <fill>
      <patternFill patternType="solid">
        <fgColor rgb="FFE4F2EA"/>
        <bgColor rgb="FFDDF3EF"/>
      </patternFill>
    </fill>
    <fill>
      <patternFill patternType="solid">
        <fgColor rgb="FFFFF6C9"/>
        <bgColor rgb="FFFBF1DC"/>
      </patternFill>
    </fill>
    <fill>
      <patternFill patternType="solid">
        <fgColor rgb="FFF0F2F5"/>
        <bgColor rgb="FFF7F7F7"/>
      </patternFill>
    </fill>
    <fill>
      <patternFill patternType="solid">
        <fgColor rgb="FF3B6FD4"/>
        <bgColor rgb="FF274F9E"/>
      </patternFill>
    </fill>
    <fill>
      <patternFill patternType="solid">
        <fgColor rgb="FFF7F8FA"/>
        <bgColor rgb="FFF7F7F7"/>
      </patternFill>
    </fill>
    <fill>
      <patternFill patternType="solid">
        <fgColor rgb="FFC08427"/>
        <bgColor rgb="FF8E5F1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5F14"/>
      <rgbColor rgb="FF800080"/>
      <rgbColor rgb="FF0B7264"/>
      <rgbColor rgb="FFBFBFBF"/>
      <rgbColor rgb="FF808080"/>
      <rgbColor rgb="FF9999FF"/>
      <rgbColor rgb="FF993366"/>
      <rgbColor rgb="FFFFF6C9"/>
      <rgbColor rgb="FFDDF3EF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E4F2EA"/>
      <rgbColor rgb="FFE8EEFB"/>
      <rgbColor rgb="FFFBF1DC"/>
      <rgbColor rgb="FFF7F7F7"/>
      <rgbColor rgb="FFF7F8FA"/>
      <rgbColor rgb="FFCC99FF"/>
      <rgbColor rgb="FFF0F2F5"/>
      <rgbColor rgb="FF3B6FD4"/>
      <rgbColor rgb="FF33CCCC"/>
      <rgbColor rgb="FF99CC00"/>
      <rgbColor rgb="FFFFCC00"/>
      <rgbColor rgb="FFC08427"/>
      <rgbColor rgb="FFFF6600"/>
      <rgbColor rgb="FF595959"/>
      <rgbColor rgb="FF969696"/>
      <rgbColor rgb="FF10243F"/>
      <rgbColor rgb="FF12A08C"/>
      <rgbColor rgb="FF003300"/>
      <rgbColor rgb="FF333300"/>
      <rgbColor rgb="FF993300"/>
      <rgbColor rgb="FF993366"/>
      <rgbColor rgb="FF274F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customFormat="false" ht="19.5" hidden="false" customHeight="true" outlineLevel="0" collapsed="false">
      <c r="A5" s="7" t="s">
        <v>12</v>
      </c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8" t="n">
        <v>1</v>
      </c>
      <c r="B6" s="9" t="s">
        <v>13</v>
      </c>
      <c r="C6" s="10" t="s">
        <v>14</v>
      </c>
      <c r="D6" s="11" t="n">
        <v>900</v>
      </c>
      <c r="E6" s="9" t="s">
        <v>15</v>
      </c>
      <c r="F6" s="11" t="n">
        <f aca="false">D6*1</f>
        <v>900</v>
      </c>
      <c r="G6" s="9" t="s">
        <v>15</v>
      </c>
      <c r="H6" s="11" t="n">
        <f aca="false">D6*1</f>
        <v>900</v>
      </c>
      <c r="I6" s="9" t="s">
        <v>15</v>
      </c>
      <c r="J6" s="11" t="n">
        <f aca="false">D6*1</f>
        <v>900</v>
      </c>
    </row>
    <row r="7" customFormat="false" ht="23.85" hidden="false" customHeight="false" outlineLevel="0" collapsed="false">
      <c r="A7" s="8" t="n">
        <v>2</v>
      </c>
      <c r="B7" s="9" t="s">
        <v>16</v>
      </c>
      <c r="C7" s="10" t="s">
        <v>17</v>
      </c>
      <c r="D7" s="11" t="n">
        <v>360</v>
      </c>
      <c r="E7" s="9" t="s">
        <v>15</v>
      </c>
      <c r="F7" s="11" t="n">
        <f aca="false">D7*1</f>
        <v>360</v>
      </c>
      <c r="G7" s="9" t="s">
        <v>18</v>
      </c>
      <c r="H7" s="12" t="n">
        <v>0</v>
      </c>
      <c r="I7" s="9" t="s">
        <v>18</v>
      </c>
      <c r="J7" s="12" t="n">
        <v>0</v>
      </c>
    </row>
    <row r="8" customFormat="false" ht="15" hidden="false" customHeight="false" outlineLevel="0" collapsed="false">
      <c r="A8" s="8" t="n">
        <v>3</v>
      </c>
      <c r="B8" s="9" t="s">
        <v>19</v>
      </c>
      <c r="C8" s="10" t="s">
        <v>20</v>
      </c>
      <c r="D8" s="11" t="n">
        <v>255</v>
      </c>
      <c r="E8" s="9" t="s">
        <v>15</v>
      </c>
      <c r="F8" s="11" t="n">
        <f aca="false">D8*1</f>
        <v>255</v>
      </c>
      <c r="G8" s="9" t="s">
        <v>15</v>
      </c>
      <c r="H8" s="11" t="n">
        <f aca="false">D8*1</f>
        <v>255</v>
      </c>
      <c r="I8" s="9" t="s">
        <v>15</v>
      </c>
      <c r="J8" s="11" t="n">
        <f aca="false">D8*1</f>
        <v>255</v>
      </c>
    </row>
    <row r="9" customFormat="false" ht="15" hidden="false" customHeight="false" outlineLevel="0" collapsed="false">
      <c r="A9" s="8" t="n">
        <v>4</v>
      </c>
      <c r="B9" s="9" t="s">
        <v>21</v>
      </c>
      <c r="C9" s="10" t="s">
        <v>22</v>
      </c>
      <c r="D9" s="11" t="n">
        <v>450</v>
      </c>
      <c r="E9" s="9" t="s">
        <v>15</v>
      </c>
      <c r="F9" s="11" t="n">
        <f aca="false">D9*1</f>
        <v>450</v>
      </c>
      <c r="G9" s="9" t="s">
        <v>15</v>
      </c>
      <c r="H9" s="11" t="n">
        <f aca="false">D9*1</f>
        <v>450</v>
      </c>
      <c r="I9" s="9" t="s">
        <v>15</v>
      </c>
      <c r="J9" s="11" t="n">
        <f aca="false">D9*1</f>
        <v>450</v>
      </c>
    </row>
    <row r="10" customFormat="false" ht="15" hidden="false" customHeight="false" outlineLevel="0" collapsed="false">
      <c r="A10" s="8" t="n">
        <v>5</v>
      </c>
      <c r="B10" s="9" t="s">
        <v>23</v>
      </c>
      <c r="C10" s="10" t="s">
        <v>24</v>
      </c>
      <c r="D10" s="11" t="n">
        <v>1200</v>
      </c>
      <c r="E10" s="9" t="s">
        <v>15</v>
      </c>
      <c r="F10" s="11" t="n">
        <f aca="false">D10*1</f>
        <v>1200</v>
      </c>
      <c r="G10" s="9" t="s">
        <v>15</v>
      </c>
      <c r="H10" s="11" t="n">
        <f aca="false">D10*1</f>
        <v>1200</v>
      </c>
      <c r="I10" s="9" t="s">
        <v>15</v>
      </c>
      <c r="J10" s="11" t="n">
        <f aca="false">D10*1</f>
        <v>1200</v>
      </c>
    </row>
    <row r="11" customFormat="false" ht="23.85" hidden="false" customHeight="false" outlineLevel="0" collapsed="false">
      <c r="A11" s="8" t="n">
        <v>6</v>
      </c>
      <c r="B11" s="9" t="s">
        <v>25</v>
      </c>
      <c r="C11" s="10" t="s">
        <v>26</v>
      </c>
      <c r="D11" s="11" t="n">
        <v>105</v>
      </c>
      <c r="E11" s="9" t="s">
        <v>27</v>
      </c>
      <c r="F11" s="11" t="n">
        <f aca="false">D11*1</f>
        <v>105</v>
      </c>
      <c r="G11" s="9" t="s">
        <v>28</v>
      </c>
      <c r="H11" s="11" t="n">
        <f aca="false">D11*1</f>
        <v>105</v>
      </c>
      <c r="I11" s="9" t="s">
        <v>28</v>
      </c>
      <c r="J11" s="11" t="n">
        <f aca="false">D11*1</f>
        <v>105</v>
      </c>
    </row>
    <row r="12" customFormat="false" ht="15" hidden="false" customHeight="false" outlineLevel="0" collapsed="false">
      <c r="A12" s="8" t="n">
        <v>7</v>
      </c>
      <c r="B12" s="9" t="s">
        <v>29</v>
      </c>
      <c r="C12" s="10" t="s">
        <v>30</v>
      </c>
      <c r="D12" s="11" t="n">
        <v>45</v>
      </c>
      <c r="E12" s="9" t="s">
        <v>15</v>
      </c>
      <c r="F12" s="11" t="n">
        <f aca="false">D12*1</f>
        <v>45</v>
      </c>
      <c r="G12" s="9" t="s">
        <v>15</v>
      </c>
      <c r="H12" s="11" t="n">
        <f aca="false">D12*1</f>
        <v>45</v>
      </c>
      <c r="I12" s="9" t="s">
        <v>15</v>
      </c>
      <c r="J12" s="11" t="n">
        <f aca="false">D12*1</f>
        <v>45</v>
      </c>
    </row>
    <row r="13" customFormat="false" ht="15" hidden="false" customHeight="false" outlineLevel="0" collapsed="false">
      <c r="A13" s="8" t="n">
        <v>8</v>
      </c>
      <c r="B13" s="9" t="s">
        <v>31</v>
      </c>
      <c r="C13" s="10" t="s">
        <v>32</v>
      </c>
      <c r="D13" s="11" t="n">
        <v>1000</v>
      </c>
      <c r="E13" s="9" t="s">
        <v>15</v>
      </c>
      <c r="F13" s="11" t="n">
        <f aca="false">D13*1</f>
        <v>1000</v>
      </c>
      <c r="G13" s="9" t="s">
        <v>15</v>
      </c>
      <c r="H13" s="11" t="n">
        <f aca="false">D13*1</f>
        <v>1000</v>
      </c>
      <c r="I13" s="9" t="s">
        <v>15</v>
      </c>
      <c r="J13" s="11" t="n">
        <f aca="false">D13*1</f>
        <v>1000</v>
      </c>
    </row>
    <row r="14" customFormat="false" ht="15" hidden="false" customHeight="false" outlineLevel="0" collapsed="false">
      <c r="A14" s="8" t="n">
        <v>9</v>
      </c>
      <c r="B14" s="9" t="s">
        <v>33</v>
      </c>
      <c r="C14" s="10" t="s">
        <v>34</v>
      </c>
      <c r="D14" s="11" t="n">
        <v>860</v>
      </c>
      <c r="E14" s="9" t="s">
        <v>15</v>
      </c>
      <c r="F14" s="11" t="n">
        <f aca="false">D14*1</f>
        <v>860</v>
      </c>
      <c r="G14" s="9" t="s">
        <v>15</v>
      </c>
      <c r="H14" s="11" t="n">
        <f aca="false">D14*1</f>
        <v>860</v>
      </c>
      <c r="I14" s="9" t="s">
        <v>15</v>
      </c>
      <c r="J14" s="11" t="n">
        <f aca="false">D14*1</f>
        <v>860</v>
      </c>
    </row>
    <row r="15" customFormat="false" ht="15" hidden="false" customHeight="false" outlineLevel="0" collapsed="false">
      <c r="A15" s="8" t="n">
        <v>10</v>
      </c>
      <c r="B15" s="9" t="s">
        <v>23</v>
      </c>
      <c r="C15" s="10" t="s">
        <v>35</v>
      </c>
      <c r="D15" s="11" t="n">
        <v>150</v>
      </c>
      <c r="E15" s="9" t="s">
        <v>15</v>
      </c>
      <c r="F15" s="11" t="n">
        <f aca="false">D15*1</f>
        <v>150</v>
      </c>
      <c r="G15" s="9" t="s">
        <v>15</v>
      </c>
      <c r="H15" s="11" t="n">
        <f aca="false">D15*1</f>
        <v>150</v>
      </c>
      <c r="I15" s="9" t="s">
        <v>15</v>
      </c>
      <c r="J15" s="11" t="n">
        <f aca="false">D15*1</f>
        <v>150</v>
      </c>
    </row>
    <row r="16" customFormat="false" ht="19.5" hidden="false" customHeight="true" outlineLevel="0" collapsed="false">
      <c r="A16" s="13" t="s">
        <v>36</v>
      </c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23.85" hidden="false" customHeight="false" outlineLevel="0" collapsed="false">
      <c r="A17" s="8" t="n">
        <v>11</v>
      </c>
      <c r="B17" s="9" t="s">
        <v>16</v>
      </c>
      <c r="C17" s="10" t="s">
        <v>37</v>
      </c>
      <c r="D17" s="11" t="n">
        <v>650</v>
      </c>
      <c r="E17" s="9" t="s">
        <v>38</v>
      </c>
      <c r="F17" s="12" t="n">
        <v>0</v>
      </c>
      <c r="G17" s="9" t="s">
        <v>39</v>
      </c>
      <c r="H17" s="11" t="n">
        <f aca="false">D17*1</f>
        <v>650</v>
      </c>
      <c r="I17" s="9" t="s">
        <v>40</v>
      </c>
      <c r="J17" s="11" t="n">
        <f aca="false">D17*2</f>
        <v>1300</v>
      </c>
    </row>
    <row r="18" customFormat="false" ht="15" hidden="false" customHeight="false" outlineLevel="0" collapsed="false">
      <c r="A18" s="8" t="n">
        <v>12</v>
      </c>
      <c r="B18" s="9" t="s">
        <v>41</v>
      </c>
      <c r="C18" s="10" t="s">
        <v>42</v>
      </c>
      <c r="D18" s="11" t="n">
        <v>1360</v>
      </c>
      <c r="E18" s="9" t="s">
        <v>38</v>
      </c>
      <c r="F18" s="12" t="n">
        <v>0</v>
      </c>
      <c r="G18" s="9" t="s">
        <v>43</v>
      </c>
      <c r="H18" s="11" t="n">
        <f aca="false">D18*1</f>
        <v>1360</v>
      </c>
      <c r="I18" s="9" t="s">
        <v>43</v>
      </c>
      <c r="J18" s="11" t="n">
        <f aca="false">D18*1</f>
        <v>1360</v>
      </c>
    </row>
    <row r="19" customFormat="false" ht="15" hidden="false" customHeight="false" outlineLevel="0" collapsed="false">
      <c r="A19" s="8" t="n">
        <v>13</v>
      </c>
      <c r="B19" s="9" t="s">
        <v>44</v>
      </c>
      <c r="C19" s="10" t="s">
        <v>45</v>
      </c>
      <c r="D19" s="11" t="n">
        <v>920</v>
      </c>
      <c r="E19" s="9" t="s">
        <v>38</v>
      </c>
      <c r="F19" s="12" t="n">
        <v>0</v>
      </c>
      <c r="G19" s="9" t="s">
        <v>43</v>
      </c>
      <c r="H19" s="11" t="n">
        <f aca="false">D19*1</f>
        <v>920</v>
      </c>
      <c r="I19" s="9" t="s">
        <v>43</v>
      </c>
      <c r="J19" s="11" t="n">
        <f aca="false">D19*1</f>
        <v>920</v>
      </c>
    </row>
    <row r="20" customFormat="false" ht="15" hidden="false" customHeight="false" outlineLevel="0" collapsed="false">
      <c r="A20" s="8" t="n">
        <v>14</v>
      </c>
      <c r="B20" s="9" t="s">
        <v>21</v>
      </c>
      <c r="C20" s="10" t="s">
        <v>46</v>
      </c>
      <c r="D20" s="11" t="n">
        <v>620</v>
      </c>
      <c r="E20" s="9" t="s">
        <v>38</v>
      </c>
      <c r="F20" s="12" t="n">
        <v>0</v>
      </c>
      <c r="G20" s="9" t="s">
        <v>43</v>
      </c>
      <c r="H20" s="11" t="n">
        <f aca="false">D20*1</f>
        <v>620</v>
      </c>
      <c r="I20" s="9" t="s">
        <v>43</v>
      </c>
      <c r="J20" s="11" t="n">
        <f aca="false">D20*1</f>
        <v>620</v>
      </c>
    </row>
    <row r="21" customFormat="false" ht="15" hidden="false" customHeight="false" outlineLevel="0" collapsed="false">
      <c r="A21" s="8" t="n">
        <v>15</v>
      </c>
      <c r="B21" s="9" t="s">
        <v>47</v>
      </c>
      <c r="C21" s="10" t="s">
        <v>48</v>
      </c>
      <c r="D21" s="11" t="n">
        <v>500</v>
      </c>
      <c r="E21" s="9" t="s">
        <v>38</v>
      </c>
      <c r="F21" s="12" t="n">
        <v>0</v>
      </c>
      <c r="G21" s="9" t="s">
        <v>43</v>
      </c>
      <c r="H21" s="11" t="n">
        <f aca="false">D21*1</f>
        <v>500</v>
      </c>
      <c r="I21" s="9" t="s">
        <v>43</v>
      </c>
      <c r="J21" s="11" t="n">
        <f aca="false">D21*1</f>
        <v>500</v>
      </c>
    </row>
    <row r="22" customFormat="false" ht="15" hidden="false" customHeight="false" outlineLevel="0" collapsed="false">
      <c r="A22" s="8" t="n">
        <v>16</v>
      </c>
      <c r="B22" s="9" t="s">
        <v>29</v>
      </c>
      <c r="C22" s="10" t="s">
        <v>49</v>
      </c>
      <c r="D22" s="11" t="n">
        <v>351</v>
      </c>
      <c r="E22" s="9" t="s">
        <v>38</v>
      </c>
      <c r="F22" s="12" t="n">
        <v>0</v>
      </c>
      <c r="G22" s="9" t="s">
        <v>43</v>
      </c>
      <c r="H22" s="11" t="n">
        <f aca="false">D22*1</f>
        <v>351</v>
      </c>
      <c r="I22" s="9" t="s">
        <v>43</v>
      </c>
      <c r="J22" s="11" t="n">
        <f aca="false">D22*1</f>
        <v>351</v>
      </c>
    </row>
    <row r="23" customFormat="false" ht="15" hidden="false" customHeight="false" outlineLevel="0" collapsed="false">
      <c r="A23" s="8" t="n">
        <v>17</v>
      </c>
      <c r="B23" s="9" t="s">
        <v>50</v>
      </c>
      <c r="C23" s="10" t="s">
        <v>51</v>
      </c>
      <c r="D23" s="11" t="n">
        <v>350</v>
      </c>
      <c r="E23" s="9" t="s">
        <v>38</v>
      </c>
      <c r="F23" s="12" t="n">
        <v>0</v>
      </c>
      <c r="G23" s="9" t="s">
        <v>43</v>
      </c>
      <c r="H23" s="11" t="n">
        <f aca="false">D23*1</f>
        <v>350</v>
      </c>
      <c r="I23" s="9" t="s">
        <v>43</v>
      </c>
      <c r="J23" s="11" t="n">
        <f aca="false">D23*1</f>
        <v>350</v>
      </c>
    </row>
    <row r="24" customFormat="false" ht="15" hidden="false" customHeight="false" outlineLevel="0" collapsed="false">
      <c r="A24" s="8" t="n">
        <v>18</v>
      </c>
      <c r="B24" s="9" t="s">
        <v>31</v>
      </c>
      <c r="C24" s="10" t="s">
        <v>52</v>
      </c>
      <c r="D24" s="11" t="n">
        <v>600</v>
      </c>
      <c r="E24" s="9" t="s">
        <v>38</v>
      </c>
      <c r="F24" s="12" t="n">
        <v>0</v>
      </c>
      <c r="G24" s="9" t="s">
        <v>15</v>
      </c>
      <c r="H24" s="11" t="n">
        <f aca="false">D24*1</f>
        <v>600</v>
      </c>
      <c r="I24" s="9" t="s">
        <v>15</v>
      </c>
      <c r="J24" s="11" t="n">
        <f aca="false">D24*1</f>
        <v>600</v>
      </c>
    </row>
    <row r="25" customFormat="false" ht="15" hidden="false" customHeight="false" outlineLevel="0" collapsed="false">
      <c r="A25" s="8" t="n">
        <v>19</v>
      </c>
      <c r="B25" s="9" t="s">
        <v>53</v>
      </c>
      <c r="C25" s="10" t="s">
        <v>54</v>
      </c>
      <c r="D25" s="11" t="n">
        <v>236</v>
      </c>
      <c r="E25" s="9" t="s">
        <v>38</v>
      </c>
      <c r="F25" s="12" t="n">
        <v>0</v>
      </c>
      <c r="G25" s="9" t="s">
        <v>55</v>
      </c>
      <c r="H25" s="11" t="n">
        <f aca="false">D25*1</f>
        <v>236</v>
      </c>
      <c r="I25" s="9" t="s">
        <v>56</v>
      </c>
      <c r="J25" s="11" t="n">
        <f aca="false">D25*3</f>
        <v>708</v>
      </c>
    </row>
    <row r="26" customFormat="false" ht="19.5" hidden="false" customHeight="true" outlineLevel="0" collapsed="false">
      <c r="A26" s="14" t="s">
        <v>57</v>
      </c>
      <c r="B26" s="14"/>
      <c r="C26" s="14"/>
      <c r="D26" s="14"/>
      <c r="E26" s="14"/>
      <c r="F26" s="14"/>
      <c r="G26" s="14"/>
      <c r="H26" s="14"/>
      <c r="I26" s="14"/>
      <c r="J26" s="14"/>
    </row>
    <row r="27" customFormat="false" ht="23.85" hidden="false" customHeight="false" outlineLevel="0" collapsed="false">
      <c r="A27" s="8" t="n">
        <v>20</v>
      </c>
      <c r="B27" s="9" t="s">
        <v>58</v>
      </c>
      <c r="C27" s="10" t="s">
        <v>59</v>
      </c>
      <c r="D27" s="11" t="n">
        <v>800</v>
      </c>
      <c r="E27" s="9" t="s">
        <v>38</v>
      </c>
      <c r="F27" s="12" t="n">
        <v>0</v>
      </c>
      <c r="G27" s="9" t="s">
        <v>38</v>
      </c>
      <c r="H27" s="12" t="n">
        <v>0</v>
      </c>
      <c r="I27" s="9" t="s">
        <v>60</v>
      </c>
      <c r="J27" s="11" t="n">
        <f aca="false">D27*1</f>
        <v>800</v>
      </c>
    </row>
    <row r="28" customFormat="false" ht="15" hidden="false" customHeight="false" outlineLevel="0" collapsed="false">
      <c r="A28" s="8" t="n">
        <v>21</v>
      </c>
      <c r="B28" s="9" t="s">
        <v>61</v>
      </c>
      <c r="C28" s="10" t="s">
        <v>62</v>
      </c>
      <c r="D28" s="11" t="n">
        <v>750</v>
      </c>
      <c r="E28" s="9" t="s">
        <v>38</v>
      </c>
      <c r="F28" s="12" t="n">
        <v>0</v>
      </c>
      <c r="G28" s="9" t="s">
        <v>38</v>
      </c>
      <c r="H28" s="12" t="n">
        <v>0</v>
      </c>
      <c r="I28" s="9" t="s">
        <v>60</v>
      </c>
      <c r="J28" s="11" t="n">
        <f aca="false">D28*1</f>
        <v>750</v>
      </c>
    </row>
    <row r="29" customFormat="false" ht="15" hidden="false" customHeight="false" outlineLevel="0" collapsed="false">
      <c r="A29" s="8" t="n">
        <v>22</v>
      </c>
      <c r="B29" s="9" t="s">
        <v>63</v>
      </c>
      <c r="C29" s="10" t="s">
        <v>64</v>
      </c>
      <c r="D29" s="11" t="n">
        <v>1368</v>
      </c>
      <c r="E29" s="9" t="s">
        <v>38</v>
      </c>
      <c r="F29" s="12" t="n">
        <v>0</v>
      </c>
      <c r="G29" s="9" t="s">
        <v>38</v>
      </c>
      <c r="H29" s="12" t="n">
        <v>0</v>
      </c>
      <c r="I29" s="9" t="s">
        <v>60</v>
      </c>
      <c r="J29" s="11" t="n">
        <f aca="false">D29*1</f>
        <v>1368</v>
      </c>
    </row>
    <row r="30" customFormat="false" ht="15" hidden="false" customHeight="false" outlineLevel="0" collapsed="false">
      <c r="A30" s="8" t="n">
        <v>23</v>
      </c>
      <c r="B30" s="9" t="s">
        <v>16</v>
      </c>
      <c r="C30" s="10" t="s">
        <v>65</v>
      </c>
      <c r="D30" s="11" t="n">
        <v>400</v>
      </c>
      <c r="E30" s="9" t="s">
        <v>38</v>
      </c>
      <c r="F30" s="12" t="n">
        <v>0</v>
      </c>
      <c r="G30" s="9" t="s">
        <v>38</v>
      </c>
      <c r="H30" s="12" t="n">
        <v>0</v>
      </c>
      <c r="I30" s="9" t="s">
        <v>60</v>
      </c>
      <c r="J30" s="11" t="n">
        <f aca="false">D30*1</f>
        <v>400</v>
      </c>
    </row>
    <row r="31" customFormat="false" ht="15" hidden="false" customHeight="false" outlineLevel="0" collapsed="false">
      <c r="A31" s="8" t="n">
        <v>24</v>
      </c>
      <c r="B31" s="9" t="s">
        <v>66</v>
      </c>
      <c r="C31" s="10" t="s">
        <v>67</v>
      </c>
      <c r="D31" s="11" t="n">
        <v>890</v>
      </c>
      <c r="E31" s="9" t="s">
        <v>38</v>
      </c>
      <c r="F31" s="12" t="n">
        <v>0</v>
      </c>
      <c r="G31" s="9" t="s">
        <v>38</v>
      </c>
      <c r="H31" s="12" t="n">
        <v>0</v>
      </c>
      <c r="I31" s="9" t="s">
        <v>60</v>
      </c>
      <c r="J31" s="11" t="n">
        <f aca="false">D31*1</f>
        <v>890</v>
      </c>
    </row>
    <row r="32" customFormat="false" ht="15" hidden="false" customHeight="false" outlineLevel="0" collapsed="false">
      <c r="A32" s="8" t="n">
        <v>25</v>
      </c>
      <c r="B32" s="9" t="s">
        <v>68</v>
      </c>
      <c r="C32" s="10" t="s">
        <v>69</v>
      </c>
      <c r="D32" s="11" t="n">
        <v>150</v>
      </c>
      <c r="E32" s="9" t="s">
        <v>38</v>
      </c>
      <c r="F32" s="12" t="n">
        <v>0</v>
      </c>
      <c r="G32" s="9" t="s">
        <v>38</v>
      </c>
      <c r="H32" s="12" t="n">
        <v>0</v>
      </c>
      <c r="I32" s="9" t="s">
        <v>60</v>
      </c>
      <c r="J32" s="11" t="n">
        <f aca="false">D32*1</f>
        <v>150</v>
      </c>
    </row>
    <row r="33" customFormat="false" ht="19.5" hidden="false" customHeight="true" outlineLevel="0" collapsed="false">
      <c r="A33" s="15" t="s">
        <v>70</v>
      </c>
      <c r="B33" s="15"/>
      <c r="C33" s="15"/>
      <c r="D33" s="15"/>
      <c r="E33" s="15"/>
      <c r="F33" s="15"/>
      <c r="G33" s="15"/>
      <c r="H33" s="15"/>
      <c r="I33" s="15"/>
      <c r="J33" s="15"/>
    </row>
    <row r="34" customFormat="false" ht="15" hidden="false" customHeight="false" outlineLevel="0" collapsed="false">
      <c r="A34" s="16"/>
      <c r="B34" s="16" t="s">
        <v>68</v>
      </c>
      <c r="C34" s="17" t="s">
        <v>71</v>
      </c>
      <c r="D34" s="8" t="s">
        <v>15</v>
      </c>
      <c r="E34" s="18" t="s">
        <v>72</v>
      </c>
      <c r="F34" s="16"/>
      <c r="G34" s="18" t="s">
        <v>72</v>
      </c>
      <c r="H34" s="16"/>
      <c r="I34" s="18" t="s">
        <v>73</v>
      </c>
      <c r="J34" s="16"/>
    </row>
    <row r="36" customFormat="false" ht="21.75" hidden="false" customHeight="true" outlineLevel="0" collapsed="false">
      <c r="A36" s="19"/>
      <c r="B36" s="19"/>
      <c r="C36" s="20" t="s">
        <v>74</v>
      </c>
      <c r="D36" s="19"/>
      <c r="E36" s="19"/>
      <c r="F36" s="21" t="n">
        <f aca="false">SUM(F5:F32)</f>
        <v>5325</v>
      </c>
      <c r="G36" s="19"/>
      <c r="H36" s="21" t="n">
        <f aca="false">SUM(H5:H32)</f>
        <v>10552</v>
      </c>
      <c r="I36" s="19"/>
      <c r="J36" s="21" t="n">
        <f aca="false">SUM(J5:J32)</f>
        <v>16032</v>
      </c>
    </row>
    <row r="37" customFormat="false" ht="15" hidden="false" customHeight="false" outlineLevel="0" collapsed="false">
      <c r="A37" s="22"/>
      <c r="B37" s="22"/>
      <c r="C37" s="23" t="s">
        <v>75</v>
      </c>
      <c r="D37" s="22"/>
      <c r="E37" s="22"/>
      <c r="F37" s="22" t="s">
        <v>38</v>
      </c>
      <c r="G37" s="22"/>
      <c r="H37" s="24" t="n">
        <f aca="false">H36-F36</f>
        <v>5227</v>
      </c>
      <c r="I37" s="22"/>
      <c r="J37" s="24" t="n">
        <f aca="false">J36-H36</f>
        <v>5480</v>
      </c>
    </row>
    <row r="39" customFormat="false" ht="19.5" hidden="false" customHeight="true" outlineLevel="0" collapsed="false">
      <c r="A39" s="25" t="s">
        <v>76</v>
      </c>
      <c r="B39" s="25"/>
      <c r="C39" s="25"/>
      <c r="D39" s="25"/>
      <c r="E39" s="25"/>
      <c r="F39" s="25"/>
      <c r="G39" s="25"/>
      <c r="H39" s="25"/>
      <c r="I39" s="25"/>
      <c r="J39" s="25"/>
    </row>
    <row r="40" customFormat="false" ht="21.75" hidden="false" customHeight="true" outlineLevel="0" collapsed="false">
      <c r="A40" s="16"/>
      <c r="B40" s="16"/>
      <c r="C40" s="26" t="s">
        <v>77</v>
      </c>
      <c r="D40" s="27"/>
      <c r="E40" s="27"/>
      <c r="F40" s="28" t="n">
        <v>4100</v>
      </c>
      <c r="G40" s="27"/>
      <c r="H40" s="28" t="n">
        <v>6300</v>
      </c>
      <c r="I40" s="27"/>
      <c r="J40" s="28" t="n">
        <v>8400</v>
      </c>
    </row>
    <row r="41" customFormat="false" ht="15" hidden="false" customHeight="false" outlineLevel="0" collapsed="false">
      <c r="A41" s="16"/>
      <c r="B41" s="16"/>
      <c r="C41" s="26" t="s">
        <v>78</v>
      </c>
      <c r="D41" s="27"/>
      <c r="E41" s="27"/>
      <c r="F41" s="29" t="n">
        <f aca="false">F36-F40</f>
        <v>1225</v>
      </c>
      <c r="G41" s="27"/>
      <c r="H41" s="29" t="n">
        <f aca="false">H36-H40</f>
        <v>4252</v>
      </c>
      <c r="I41" s="27"/>
      <c r="J41" s="29" t="n">
        <f aca="false">J36-J40</f>
        <v>7632</v>
      </c>
    </row>
    <row r="42" customFormat="false" ht="15" hidden="false" customHeight="false" outlineLevel="0" collapsed="false">
      <c r="A42" s="16"/>
      <c r="B42" s="16"/>
      <c r="C42" s="26" t="s">
        <v>79</v>
      </c>
      <c r="D42" s="27"/>
      <c r="E42" s="27"/>
      <c r="F42" s="30" t="n">
        <f aca="false">(F36-F40)/F36</f>
        <v>0.230046948356808</v>
      </c>
      <c r="G42" s="27"/>
      <c r="H42" s="30" t="n">
        <f aca="false">(H36-H40)/H36</f>
        <v>0.402956785443518</v>
      </c>
      <c r="I42" s="27"/>
      <c r="J42" s="30" t="n">
        <f aca="false">(J36-J40)/J36</f>
        <v>0.476047904191617</v>
      </c>
    </row>
    <row r="43" customFormat="false" ht="15" hidden="false" customHeight="false" outlineLevel="0" collapsed="false">
      <c r="A43" s="16"/>
      <c r="B43" s="16"/>
      <c r="C43" s="26" t="s">
        <v>80</v>
      </c>
      <c r="D43" s="27"/>
      <c r="E43" s="27"/>
      <c r="F43" s="31" t="s">
        <v>38</v>
      </c>
      <c r="G43" s="27"/>
      <c r="H43" s="31" t="n">
        <f aca="false">H40-F40</f>
        <v>2200</v>
      </c>
      <c r="I43" s="27"/>
      <c r="J43" s="31" t="n">
        <f aca="false">J40-H40</f>
        <v>2100</v>
      </c>
    </row>
    <row r="44" customFormat="false" ht="15" hidden="false" customHeight="false" outlineLevel="0" collapsed="false">
      <c r="A44" s="16"/>
      <c r="B44" s="16"/>
      <c r="C44" s="26" t="s">
        <v>81</v>
      </c>
      <c r="D44" s="27"/>
      <c r="E44" s="27"/>
      <c r="F44" s="32" t="s">
        <v>38</v>
      </c>
      <c r="G44" s="27"/>
      <c r="H44" s="32" t="n">
        <f aca="false">H37/H43</f>
        <v>2.37590909090909</v>
      </c>
      <c r="I44" s="27"/>
      <c r="J44" s="32" t="n">
        <f aca="false">J37/J43</f>
        <v>2.60952380952381</v>
      </c>
    </row>
    <row r="46" customFormat="false" ht="15" hidden="false" customHeight="false" outlineLevel="0" collapsed="false">
      <c r="A46" s="33" t="s">
        <v>82</v>
      </c>
      <c r="B46" s="33"/>
      <c r="C46" s="33"/>
      <c r="D46" s="33"/>
      <c r="E46" s="33"/>
      <c r="F46" s="33"/>
      <c r="G46" s="33"/>
      <c r="H46" s="33"/>
      <c r="I46" s="33"/>
      <c r="J46" s="33"/>
    </row>
    <row r="47" customFormat="false" ht="15" hidden="false" customHeight="false" outlineLevel="0" collapsed="false">
      <c r="A47" s="34" t="s">
        <v>83</v>
      </c>
      <c r="B47" s="34"/>
      <c r="C47" s="34"/>
      <c r="D47" s="34"/>
      <c r="E47" s="34"/>
      <c r="F47" s="34"/>
      <c r="G47" s="34"/>
      <c r="H47" s="34"/>
      <c r="I47" s="34"/>
      <c r="J47" s="34"/>
    </row>
    <row r="48" customFormat="false" ht="15" hidden="false" customHeight="false" outlineLevel="0" collapsed="false">
      <c r="A48" s="34" t="s">
        <v>84</v>
      </c>
      <c r="B48" s="34"/>
      <c r="C48" s="34"/>
      <c r="D48" s="34"/>
      <c r="E48" s="34"/>
      <c r="F48" s="34"/>
      <c r="G48" s="34"/>
      <c r="H48" s="34"/>
      <c r="I48" s="34"/>
      <c r="J48" s="34"/>
    </row>
    <row r="49" customFormat="false" ht="15" hidden="false" customHeight="false" outlineLevel="0" collapsed="false">
      <c r="A49" s="34" t="s">
        <v>85</v>
      </c>
      <c r="B49" s="34"/>
      <c r="C49" s="34"/>
      <c r="D49" s="34"/>
      <c r="E49" s="34"/>
      <c r="F49" s="34"/>
      <c r="G49" s="34"/>
      <c r="H49" s="34"/>
      <c r="I49" s="34"/>
      <c r="J49" s="34"/>
    </row>
    <row r="50" customFormat="false" ht="15" hidden="false" customHeight="false" outlineLevel="0" collapsed="false">
      <c r="A50" s="34" t="s">
        <v>86</v>
      </c>
      <c r="B50" s="34"/>
      <c r="C50" s="34"/>
      <c r="D50" s="34"/>
      <c r="E50" s="34"/>
      <c r="F50" s="34"/>
      <c r="G50" s="34"/>
      <c r="H50" s="34"/>
      <c r="I50" s="34"/>
      <c r="J50" s="34"/>
    </row>
    <row r="51" customFormat="false" ht="15" hidden="false" customHeight="false" outlineLevel="0" collapsed="false">
      <c r="A51" s="34" t="s">
        <v>87</v>
      </c>
      <c r="B51" s="34"/>
      <c r="C51" s="34"/>
      <c r="D51" s="34"/>
      <c r="E51" s="34"/>
      <c r="F51" s="34"/>
      <c r="G51" s="34"/>
      <c r="H51" s="34"/>
      <c r="I51" s="34"/>
      <c r="J51" s="34"/>
    </row>
    <row r="52" customFormat="false" ht="15" hidden="false" customHeight="false" outlineLevel="0" collapsed="false">
      <c r="A52" s="34" t="s">
        <v>88</v>
      </c>
      <c r="B52" s="34"/>
      <c r="C52" s="34"/>
      <c r="D52" s="34"/>
      <c r="E52" s="34"/>
      <c r="F52" s="34"/>
      <c r="G52" s="34"/>
      <c r="H52" s="34"/>
      <c r="I52" s="34"/>
      <c r="J52" s="34"/>
    </row>
    <row r="53" customFormat="false" ht="15" hidden="false" customHeight="false" outlineLevel="0" collapsed="false">
      <c r="A53" s="34" t="s">
        <v>89</v>
      </c>
      <c r="B53" s="34"/>
      <c r="C53" s="34"/>
      <c r="D53" s="34"/>
      <c r="E53" s="34"/>
      <c r="F53" s="34"/>
      <c r="G53" s="34"/>
      <c r="H53" s="34"/>
      <c r="I53" s="34"/>
      <c r="J53" s="34"/>
    </row>
    <row r="54" customFormat="false" ht="15" hidden="false" customHeight="false" outlineLevel="0" collapsed="false">
      <c r="A54" s="34" t="s">
        <v>90</v>
      </c>
      <c r="B54" s="34"/>
      <c r="C54" s="34"/>
      <c r="D54" s="34"/>
      <c r="E54" s="34"/>
      <c r="F54" s="34"/>
      <c r="G54" s="34"/>
      <c r="H54" s="34"/>
      <c r="I54" s="34"/>
      <c r="J54" s="34"/>
    </row>
  </sheetData>
  <mergeCells count="16">
    <mergeCell ref="A1:J1"/>
    <mergeCell ref="A2:J2"/>
    <mergeCell ref="A5:J5"/>
    <mergeCell ref="A16:J16"/>
    <mergeCell ref="A26:J26"/>
    <mergeCell ref="A33:J33"/>
    <mergeCell ref="A39:J39"/>
    <mergeCell ref="A46:J46"/>
    <mergeCell ref="A47:J47"/>
    <mergeCell ref="A48:J48"/>
    <mergeCell ref="A49:J49"/>
    <mergeCell ref="A50:J50"/>
    <mergeCell ref="A51:J51"/>
    <mergeCell ref="A52:J52"/>
    <mergeCell ref="A53:J53"/>
    <mergeCell ref="A54:J54"/>
  </mergeCells>
  <printOptions headings="false" gridLines="false" gridLinesSet="true" horizontalCentered="tru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91</v>
      </c>
      <c r="B1" s="1"/>
      <c r="C1" s="1"/>
      <c r="D1" s="1"/>
      <c r="E1" s="1"/>
    </row>
    <row r="2" customFormat="false" ht="18" hidden="false" customHeight="true" outlineLevel="0" collapsed="false">
      <c r="A2" s="2" t="s">
        <v>92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93</v>
      </c>
      <c r="E4" s="3" t="s">
        <v>94</v>
      </c>
    </row>
    <row r="5" customFormat="false" ht="19.5" hidden="false" customHeight="true" outlineLevel="0" collapsed="false">
      <c r="A5" s="7" t="s">
        <v>95</v>
      </c>
      <c r="B5" s="7"/>
      <c r="C5" s="7"/>
      <c r="D5" s="7"/>
      <c r="E5" s="7"/>
    </row>
    <row r="6" customFormat="false" ht="15" hidden="false" customHeight="false" outlineLevel="0" collapsed="false">
      <c r="A6" s="8" t="n">
        <v>1</v>
      </c>
      <c r="B6" s="9" t="s">
        <v>13</v>
      </c>
      <c r="C6" s="10" t="s">
        <v>14</v>
      </c>
      <c r="D6" s="9" t="s">
        <v>15</v>
      </c>
      <c r="E6" s="11" t="n">
        <v>900</v>
      </c>
    </row>
    <row r="7" customFormat="false" ht="15" hidden="false" customHeight="false" outlineLevel="0" collapsed="false">
      <c r="A7" s="8" t="n">
        <v>2</v>
      </c>
      <c r="B7" s="9" t="s">
        <v>16</v>
      </c>
      <c r="C7" s="10" t="s">
        <v>17</v>
      </c>
      <c r="D7" s="9" t="s">
        <v>15</v>
      </c>
      <c r="E7" s="11" t="n">
        <v>360</v>
      </c>
    </row>
    <row r="8" customFormat="false" ht="15" hidden="false" customHeight="false" outlineLevel="0" collapsed="false">
      <c r="A8" s="8" t="n">
        <v>3</v>
      </c>
      <c r="B8" s="9" t="s">
        <v>19</v>
      </c>
      <c r="C8" s="10" t="s">
        <v>20</v>
      </c>
      <c r="D8" s="9" t="s">
        <v>15</v>
      </c>
      <c r="E8" s="11" t="n">
        <v>255</v>
      </c>
    </row>
    <row r="9" customFormat="false" ht="15" hidden="false" customHeight="false" outlineLevel="0" collapsed="false">
      <c r="A9" s="8" t="n">
        <v>4</v>
      </c>
      <c r="B9" s="9" t="s">
        <v>21</v>
      </c>
      <c r="C9" s="10" t="s">
        <v>22</v>
      </c>
      <c r="D9" s="9" t="s">
        <v>15</v>
      </c>
      <c r="E9" s="11" t="n">
        <v>450</v>
      </c>
    </row>
    <row r="10" customFormat="false" ht="15" hidden="false" customHeight="false" outlineLevel="0" collapsed="false">
      <c r="A10" s="8" t="n">
        <v>5</v>
      </c>
      <c r="B10" s="9" t="s">
        <v>23</v>
      </c>
      <c r="C10" s="10" t="s">
        <v>24</v>
      </c>
      <c r="D10" s="9" t="s">
        <v>15</v>
      </c>
      <c r="E10" s="11" t="n">
        <v>1200</v>
      </c>
    </row>
    <row r="11" customFormat="false" ht="15" hidden="false" customHeight="false" outlineLevel="0" collapsed="false">
      <c r="A11" s="8" t="n">
        <v>6</v>
      </c>
      <c r="B11" s="9" t="s">
        <v>25</v>
      </c>
      <c r="C11" s="10" t="s">
        <v>26</v>
      </c>
      <c r="D11" s="9" t="s">
        <v>27</v>
      </c>
      <c r="E11" s="11" t="n">
        <v>105</v>
      </c>
    </row>
    <row r="12" customFormat="false" ht="15" hidden="false" customHeight="false" outlineLevel="0" collapsed="false">
      <c r="A12" s="8" t="n">
        <v>7</v>
      </c>
      <c r="B12" s="9" t="s">
        <v>29</v>
      </c>
      <c r="C12" s="10" t="s">
        <v>30</v>
      </c>
      <c r="D12" s="9" t="s">
        <v>15</v>
      </c>
      <c r="E12" s="11" t="n">
        <v>45</v>
      </c>
    </row>
    <row r="13" customFormat="false" ht="15" hidden="false" customHeight="false" outlineLevel="0" collapsed="false">
      <c r="A13" s="8" t="n">
        <v>8</v>
      </c>
      <c r="B13" s="9" t="s">
        <v>31</v>
      </c>
      <c r="C13" s="10" t="s">
        <v>32</v>
      </c>
      <c r="D13" s="9" t="s">
        <v>15</v>
      </c>
      <c r="E13" s="11" t="n">
        <v>1000</v>
      </c>
    </row>
    <row r="14" customFormat="false" ht="15" hidden="false" customHeight="false" outlineLevel="0" collapsed="false">
      <c r="A14" s="8" t="n">
        <v>9</v>
      </c>
      <c r="B14" s="9" t="s">
        <v>33</v>
      </c>
      <c r="C14" s="10" t="s">
        <v>34</v>
      </c>
      <c r="D14" s="9" t="s">
        <v>15</v>
      </c>
      <c r="E14" s="11" t="n">
        <v>860</v>
      </c>
    </row>
    <row r="15" customFormat="false" ht="15" hidden="false" customHeight="false" outlineLevel="0" collapsed="false">
      <c r="A15" s="8" t="n">
        <v>10</v>
      </c>
      <c r="B15" s="9" t="s">
        <v>23</v>
      </c>
      <c r="C15" s="10" t="s">
        <v>35</v>
      </c>
      <c r="D15" s="9" t="s">
        <v>15</v>
      </c>
      <c r="E15" s="11" t="n">
        <v>150</v>
      </c>
    </row>
    <row r="16" customFormat="false" ht="15" hidden="false" customHeight="false" outlineLevel="0" collapsed="false">
      <c r="A16" s="35"/>
      <c r="B16" s="35"/>
      <c r="C16" s="35"/>
      <c r="D16" s="35" t="s">
        <v>96</v>
      </c>
      <c r="E16" s="36" t="n">
        <f aca="false">SUM(E6:E15)</f>
        <v>5325</v>
      </c>
    </row>
    <row r="18" customFormat="false" ht="19.5" hidden="false" customHeight="true" outlineLevel="0" collapsed="false">
      <c r="A18" s="37"/>
      <c r="B18" s="37"/>
      <c r="C18" s="37"/>
      <c r="D18" s="37" t="s">
        <v>97</v>
      </c>
      <c r="E18" s="38" t="n">
        <f aca="false">'Package Comparison'!F36</f>
        <v>5325</v>
      </c>
    </row>
    <row r="19" customFormat="false" ht="25.5" hidden="false" customHeight="true" outlineLevel="0" collapsed="false">
      <c r="A19" s="39"/>
      <c r="B19" s="39"/>
      <c r="C19" s="39"/>
      <c r="D19" s="39" t="s">
        <v>77</v>
      </c>
      <c r="E19" s="40" t="n">
        <f aca="false">'Package Comparison'!F40</f>
        <v>4100</v>
      </c>
    </row>
    <row r="20" customFormat="false" ht="19.5" hidden="false" customHeight="true" outlineLevel="0" collapsed="false">
      <c r="A20" s="41"/>
      <c r="B20" s="41"/>
      <c r="C20" s="41" t="str">
        <f aca="false">"("&amp;TEXT('Package Comparison'!F42,"0%")&amp;" off the without-package price)"</f>
        <v>(23% off the without-package price)</v>
      </c>
      <c r="D20" s="41" t="s">
        <v>98</v>
      </c>
      <c r="E20" s="29" t="n">
        <f aca="false">'Package Comparison'!F41</f>
        <v>1225</v>
      </c>
    </row>
    <row r="21" customFormat="false" ht="15" hidden="false" customHeight="false" outlineLevel="0" collapsed="false">
      <c r="A21" s="42"/>
      <c r="B21" s="42"/>
      <c r="C21" s="42"/>
      <c r="D21" s="42" t="s">
        <v>68</v>
      </c>
      <c r="E21" s="42" t="s">
        <v>72</v>
      </c>
    </row>
    <row r="22" customFormat="false" ht="15" hidden="false" customHeight="false" outlineLevel="0" collapsed="false">
      <c r="A22" s="42"/>
      <c r="B22" s="42"/>
      <c r="C22" s="42"/>
      <c r="D22" s="42" t="s">
        <v>99</v>
      </c>
      <c r="E22" s="42" t="s">
        <v>15</v>
      </c>
    </row>
  </sheetData>
  <mergeCells count="3">
    <mergeCell ref="A1:E1"/>
    <mergeCell ref="A2:E2"/>
    <mergeCell ref="A5:E5"/>
  </mergeCells>
  <printOptions headings="false" gridLines="false" gridLinesSet="true" horizontalCentered="tru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100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101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93</v>
      </c>
      <c r="E4" s="3" t="s">
        <v>94</v>
      </c>
    </row>
    <row r="5" customFormat="false" ht="19.5" hidden="false" customHeight="true" outlineLevel="0" collapsed="false">
      <c r="A5" s="7" t="s">
        <v>102</v>
      </c>
      <c r="B5" s="7"/>
      <c r="C5" s="7"/>
      <c r="D5" s="7"/>
      <c r="E5" s="7"/>
    </row>
    <row r="6" customFormat="false" ht="15" hidden="false" customHeight="false" outlineLevel="0" collapsed="false">
      <c r="A6" s="8" t="n">
        <v>1</v>
      </c>
      <c r="B6" s="9" t="s">
        <v>13</v>
      </c>
      <c r="C6" s="10" t="s">
        <v>14</v>
      </c>
      <c r="D6" s="9" t="s">
        <v>15</v>
      </c>
      <c r="E6" s="11" t="n">
        <v>900</v>
      </c>
    </row>
    <row r="7" customFormat="false" ht="15" hidden="false" customHeight="false" outlineLevel="0" collapsed="false">
      <c r="A7" s="8" t="n">
        <v>2</v>
      </c>
      <c r="B7" s="9" t="s">
        <v>19</v>
      </c>
      <c r="C7" s="10" t="s">
        <v>20</v>
      </c>
      <c r="D7" s="9" t="s">
        <v>15</v>
      </c>
      <c r="E7" s="11" t="n">
        <v>255</v>
      </c>
    </row>
    <row r="8" customFormat="false" ht="15" hidden="false" customHeight="false" outlineLevel="0" collapsed="false">
      <c r="A8" s="8" t="n">
        <v>3</v>
      </c>
      <c r="B8" s="9" t="s">
        <v>21</v>
      </c>
      <c r="C8" s="10" t="s">
        <v>22</v>
      </c>
      <c r="D8" s="9" t="s">
        <v>15</v>
      </c>
      <c r="E8" s="11" t="n">
        <v>450</v>
      </c>
    </row>
    <row r="9" customFormat="false" ht="15" hidden="false" customHeight="false" outlineLevel="0" collapsed="false">
      <c r="A9" s="8" t="n">
        <v>4</v>
      </c>
      <c r="B9" s="9" t="s">
        <v>23</v>
      </c>
      <c r="C9" s="10" t="s">
        <v>24</v>
      </c>
      <c r="D9" s="9" t="s">
        <v>15</v>
      </c>
      <c r="E9" s="11" t="n">
        <v>1200</v>
      </c>
    </row>
    <row r="10" customFormat="false" ht="15" hidden="false" customHeight="false" outlineLevel="0" collapsed="false">
      <c r="A10" s="8" t="n">
        <v>5</v>
      </c>
      <c r="B10" s="9" t="s">
        <v>25</v>
      </c>
      <c r="C10" s="10" t="s">
        <v>26</v>
      </c>
      <c r="D10" s="9" t="s">
        <v>28</v>
      </c>
      <c r="E10" s="11" t="n">
        <v>105</v>
      </c>
    </row>
    <row r="11" customFormat="false" ht="15" hidden="false" customHeight="false" outlineLevel="0" collapsed="false">
      <c r="A11" s="8" t="n">
        <v>6</v>
      </c>
      <c r="B11" s="9" t="s">
        <v>29</v>
      </c>
      <c r="C11" s="10" t="s">
        <v>30</v>
      </c>
      <c r="D11" s="9" t="s">
        <v>15</v>
      </c>
      <c r="E11" s="11" t="n">
        <v>45</v>
      </c>
    </row>
    <row r="12" customFormat="false" ht="15" hidden="false" customHeight="false" outlineLevel="0" collapsed="false">
      <c r="A12" s="8" t="n">
        <v>7</v>
      </c>
      <c r="B12" s="9" t="s">
        <v>31</v>
      </c>
      <c r="C12" s="10" t="s">
        <v>32</v>
      </c>
      <c r="D12" s="9" t="s">
        <v>15</v>
      </c>
      <c r="E12" s="11" t="n">
        <v>1000</v>
      </c>
    </row>
    <row r="13" customFormat="false" ht="15" hidden="false" customHeight="false" outlineLevel="0" collapsed="false">
      <c r="A13" s="8" t="n">
        <v>8</v>
      </c>
      <c r="B13" s="9" t="s">
        <v>33</v>
      </c>
      <c r="C13" s="10" t="s">
        <v>34</v>
      </c>
      <c r="D13" s="9" t="s">
        <v>15</v>
      </c>
      <c r="E13" s="11" t="n">
        <v>860</v>
      </c>
    </row>
    <row r="14" customFormat="false" ht="15" hidden="false" customHeight="false" outlineLevel="0" collapsed="false">
      <c r="A14" s="8" t="n">
        <v>9</v>
      </c>
      <c r="B14" s="9" t="s">
        <v>23</v>
      </c>
      <c r="C14" s="10" t="s">
        <v>35</v>
      </c>
      <c r="D14" s="9" t="s">
        <v>15</v>
      </c>
      <c r="E14" s="11" t="n">
        <v>150</v>
      </c>
    </row>
    <row r="15" customFormat="false" ht="15" hidden="false" customHeight="false" outlineLevel="0" collapsed="false">
      <c r="A15" s="35"/>
      <c r="B15" s="35"/>
      <c r="C15" s="35"/>
      <c r="D15" s="35" t="s">
        <v>103</v>
      </c>
      <c r="E15" s="36" t="n">
        <f aca="false">SUM(E6:E14)</f>
        <v>4965</v>
      </c>
    </row>
    <row r="16" customFormat="false" ht="19.5" hidden="false" customHeight="true" outlineLevel="0" collapsed="false">
      <c r="A16" s="13" t="s">
        <v>104</v>
      </c>
      <c r="B16" s="13"/>
      <c r="C16" s="13"/>
      <c r="D16" s="13"/>
      <c r="E16" s="13"/>
    </row>
    <row r="17" customFormat="false" ht="15" hidden="false" customHeight="false" outlineLevel="0" collapsed="false">
      <c r="A17" s="8" t="n">
        <v>10</v>
      </c>
      <c r="B17" s="9" t="s">
        <v>16</v>
      </c>
      <c r="C17" s="10" t="s">
        <v>37</v>
      </c>
      <c r="D17" s="9" t="s">
        <v>39</v>
      </c>
      <c r="E17" s="11" t="n">
        <v>650</v>
      </c>
    </row>
    <row r="18" customFormat="false" ht="15" hidden="false" customHeight="false" outlineLevel="0" collapsed="false">
      <c r="A18" s="8" t="n">
        <v>11</v>
      </c>
      <c r="B18" s="9" t="s">
        <v>41</v>
      </c>
      <c r="C18" s="10" t="s">
        <v>42</v>
      </c>
      <c r="D18" s="9" t="s">
        <v>43</v>
      </c>
      <c r="E18" s="11" t="n">
        <v>1360</v>
      </c>
    </row>
    <row r="19" customFormat="false" ht="15" hidden="false" customHeight="false" outlineLevel="0" collapsed="false">
      <c r="A19" s="8" t="n">
        <v>12</v>
      </c>
      <c r="B19" s="9" t="s">
        <v>44</v>
      </c>
      <c r="C19" s="10" t="s">
        <v>45</v>
      </c>
      <c r="D19" s="9" t="s">
        <v>43</v>
      </c>
      <c r="E19" s="11" t="n">
        <v>920</v>
      </c>
    </row>
    <row r="20" customFormat="false" ht="15" hidden="false" customHeight="false" outlineLevel="0" collapsed="false">
      <c r="A20" s="8" t="n">
        <v>13</v>
      </c>
      <c r="B20" s="9" t="s">
        <v>21</v>
      </c>
      <c r="C20" s="10" t="s">
        <v>46</v>
      </c>
      <c r="D20" s="9" t="s">
        <v>43</v>
      </c>
      <c r="E20" s="11" t="n">
        <v>620</v>
      </c>
    </row>
    <row r="21" customFormat="false" ht="15" hidden="false" customHeight="false" outlineLevel="0" collapsed="false">
      <c r="A21" s="8" t="n">
        <v>14</v>
      </c>
      <c r="B21" s="9" t="s">
        <v>47</v>
      </c>
      <c r="C21" s="10" t="s">
        <v>48</v>
      </c>
      <c r="D21" s="9" t="s">
        <v>43</v>
      </c>
      <c r="E21" s="11" t="n">
        <v>500</v>
      </c>
    </row>
    <row r="22" customFormat="false" ht="15" hidden="false" customHeight="false" outlineLevel="0" collapsed="false">
      <c r="A22" s="8" t="n">
        <v>15</v>
      </c>
      <c r="B22" s="9" t="s">
        <v>29</v>
      </c>
      <c r="C22" s="10" t="s">
        <v>49</v>
      </c>
      <c r="D22" s="9" t="s">
        <v>43</v>
      </c>
      <c r="E22" s="11" t="n">
        <v>351</v>
      </c>
    </row>
    <row r="23" customFormat="false" ht="15" hidden="false" customHeight="false" outlineLevel="0" collapsed="false">
      <c r="A23" s="8" t="n">
        <v>16</v>
      </c>
      <c r="B23" s="9" t="s">
        <v>50</v>
      </c>
      <c r="C23" s="10" t="s">
        <v>51</v>
      </c>
      <c r="D23" s="9" t="s">
        <v>43</v>
      </c>
      <c r="E23" s="11" t="n">
        <v>350</v>
      </c>
    </row>
    <row r="24" customFormat="false" ht="15" hidden="false" customHeight="false" outlineLevel="0" collapsed="false">
      <c r="A24" s="8" t="n">
        <v>17</v>
      </c>
      <c r="B24" s="9" t="s">
        <v>31</v>
      </c>
      <c r="C24" s="10" t="s">
        <v>52</v>
      </c>
      <c r="D24" s="9" t="s">
        <v>15</v>
      </c>
      <c r="E24" s="11" t="n">
        <v>600</v>
      </c>
    </row>
    <row r="25" customFormat="false" ht="15" hidden="false" customHeight="false" outlineLevel="0" collapsed="false">
      <c r="A25" s="8" t="n">
        <v>18</v>
      </c>
      <c r="B25" s="9" t="s">
        <v>53</v>
      </c>
      <c r="C25" s="10" t="s">
        <v>54</v>
      </c>
      <c r="D25" s="9" t="s">
        <v>55</v>
      </c>
      <c r="E25" s="11" t="n">
        <v>236</v>
      </c>
    </row>
    <row r="26" customFormat="false" ht="15" hidden="false" customHeight="false" outlineLevel="0" collapsed="false">
      <c r="A26" s="43"/>
      <c r="B26" s="43"/>
      <c r="C26" s="43"/>
      <c r="D26" s="43" t="s">
        <v>105</v>
      </c>
      <c r="E26" s="44" t="n">
        <f aca="false">SUM(E17:E25)</f>
        <v>5587</v>
      </c>
    </row>
    <row r="28" customFormat="false" ht="19.5" hidden="false" customHeight="true" outlineLevel="0" collapsed="false">
      <c r="A28" s="37"/>
      <c r="B28" s="37"/>
      <c r="C28" s="37"/>
      <c r="D28" s="37" t="s">
        <v>97</v>
      </c>
      <c r="E28" s="38" t="n">
        <f aca="false">'Package Comparison'!H36</f>
        <v>10552</v>
      </c>
    </row>
    <row r="29" customFormat="false" ht="25.5" hidden="false" customHeight="true" outlineLevel="0" collapsed="false">
      <c r="A29" s="45"/>
      <c r="B29" s="45"/>
      <c r="C29" s="45"/>
      <c r="D29" s="45" t="s">
        <v>77</v>
      </c>
      <c r="E29" s="46" t="n">
        <f aca="false">'Package Comparison'!H40</f>
        <v>6300</v>
      </c>
    </row>
    <row r="30" customFormat="false" ht="19.5" hidden="false" customHeight="true" outlineLevel="0" collapsed="false">
      <c r="A30" s="41"/>
      <c r="B30" s="41"/>
      <c r="C30" s="41" t="str">
        <f aca="false">"("&amp;TEXT('Package Comparison'!H42,"0%")&amp;" off the without-package price)"</f>
        <v>(40% off the without-package price)</v>
      </c>
      <c r="D30" s="41" t="s">
        <v>98</v>
      </c>
      <c r="E30" s="29" t="n">
        <f aca="false">'Package Comparison'!H41</f>
        <v>4252</v>
      </c>
    </row>
    <row r="31" customFormat="false" ht="15" hidden="false" customHeight="false" outlineLevel="0" collapsed="false">
      <c r="A31" s="42"/>
      <c r="B31" s="42"/>
      <c r="C31" s="42"/>
      <c r="D31" s="42" t="s">
        <v>68</v>
      </c>
      <c r="E31" s="42" t="s">
        <v>72</v>
      </c>
    </row>
    <row r="32" customFormat="false" ht="15" hidden="false" customHeight="false" outlineLevel="0" collapsed="false">
      <c r="A32" s="42"/>
      <c r="B32" s="42"/>
      <c r="C32" s="42"/>
      <c r="D32" s="42" t="s">
        <v>99</v>
      </c>
      <c r="E32" s="42" t="s">
        <v>15</v>
      </c>
    </row>
  </sheetData>
  <mergeCells count="4">
    <mergeCell ref="A1:E1"/>
    <mergeCell ref="A2:E2"/>
    <mergeCell ref="A5:E5"/>
    <mergeCell ref="A16:E16"/>
  </mergeCells>
  <printOptions headings="false" gridLines="false" gridLinesSet="true" horizontalCentered="tru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106</v>
      </c>
      <c r="B1" s="1"/>
      <c r="C1" s="1"/>
      <c r="D1" s="1"/>
      <c r="E1" s="1"/>
    </row>
    <row r="2" customFormat="false" ht="18" hidden="false" customHeight="true" outlineLevel="0" collapsed="false">
      <c r="A2" s="2" t="s">
        <v>107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93</v>
      </c>
      <c r="E4" s="3" t="s">
        <v>94</v>
      </c>
    </row>
    <row r="5" customFormat="false" ht="19.5" hidden="false" customHeight="true" outlineLevel="0" collapsed="false">
      <c r="A5" s="7" t="s">
        <v>102</v>
      </c>
      <c r="B5" s="7"/>
      <c r="C5" s="7"/>
      <c r="D5" s="7"/>
      <c r="E5" s="7"/>
    </row>
    <row r="6" customFormat="false" ht="15" hidden="false" customHeight="false" outlineLevel="0" collapsed="false">
      <c r="A6" s="8" t="n">
        <v>1</v>
      </c>
      <c r="B6" s="9" t="s">
        <v>13</v>
      </c>
      <c r="C6" s="10" t="s">
        <v>14</v>
      </c>
      <c r="D6" s="9" t="s">
        <v>15</v>
      </c>
      <c r="E6" s="11" t="n">
        <v>900</v>
      </c>
    </row>
    <row r="7" customFormat="false" ht="15" hidden="false" customHeight="false" outlineLevel="0" collapsed="false">
      <c r="A7" s="8" t="n">
        <v>2</v>
      </c>
      <c r="B7" s="9" t="s">
        <v>19</v>
      </c>
      <c r="C7" s="10" t="s">
        <v>20</v>
      </c>
      <c r="D7" s="9" t="s">
        <v>15</v>
      </c>
      <c r="E7" s="11" t="n">
        <v>255</v>
      </c>
    </row>
    <row r="8" customFormat="false" ht="15" hidden="false" customHeight="false" outlineLevel="0" collapsed="false">
      <c r="A8" s="8" t="n">
        <v>3</v>
      </c>
      <c r="B8" s="9" t="s">
        <v>21</v>
      </c>
      <c r="C8" s="10" t="s">
        <v>22</v>
      </c>
      <c r="D8" s="9" t="s">
        <v>15</v>
      </c>
      <c r="E8" s="11" t="n">
        <v>450</v>
      </c>
    </row>
    <row r="9" customFormat="false" ht="15" hidden="false" customHeight="false" outlineLevel="0" collapsed="false">
      <c r="A9" s="8" t="n">
        <v>4</v>
      </c>
      <c r="B9" s="9" t="s">
        <v>23</v>
      </c>
      <c r="C9" s="10" t="s">
        <v>24</v>
      </c>
      <c r="D9" s="9" t="s">
        <v>15</v>
      </c>
      <c r="E9" s="11" t="n">
        <v>1200</v>
      </c>
    </row>
    <row r="10" customFormat="false" ht="15" hidden="false" customHeight="false" outlineLevel="0" collapsed="false">
      <c r="A10" s="8" t="n">
        <v>5</v>
      </c>
      <c r="B10" s="9" t="s">
        <v>25</v>
      </c>
      <c r="C10" s="10" t="s">
        <v>26</v>
      </c>
      <c r="D10" s="9" t="s">
        <v>28</v>
      </c>
      <c r="E10" s="11" t="n">
        <v>105</v>
      </c>
    </row>
    <row r="11" customFormat="false" ht="15" hidden="false" customHeight="false" outlineLevel="0" collapsed="false">
      <c r="A11" s="8" t="n">
        <v>6</v>
      </c>
      <c r="B11" s="9" t="s">
        <v>29</v>
      </c>
      <c r="C11" s="10" t="s">
        <v>30</v>
      </c>
      <c r="D11" s="9" t="s">
        <v>15</v>
      </c>
      <c r="E11" s="11" t="n">
        <v>45</v>
      </c>
    </row>
    <row r="12" customFormat="false" ht="15" hidden="false" customHeight="false" outlineLevel="0" collapsed="false">
      <c r="A12" s="8" t="n">
        <v>7</v>
      </c>
      <c r="B12" s="9" t="s">
        <v>31</v>
      </c>
      <c r="C12" s="10" t="s">
        <v>32</v>
      </c>
      <c r="D12" s="9" t="s">
        <v>15</v>
      </c>
      <c r="E12" s="11" t="n">
        <v>1000</v>
      </c>
    </row>
    <row r="13" customFormat="false" ht="15" hidden="false" customHeight="false" outlineLevel="0" collapsed="false">
      <c r="A13" s="8" t="n">
        <v>8</v>
      </c>
      <c r="B13" s="9" t="s">
        <v>33</v>
      </c>
      <c r="C13" s="10" t="s">
        <v>34</v>
      </c>
      <c r="D13" s="9" t="s">
        <v>15</v>
      </c>
      <c r="E13" s="11" t="n">
        <v>860</v>
      </c>
    </row>
    <row r="14" customFormat="false" ht="15" hidden="false" customHeight="false" outlineLevel="0" collapsed="false">
      <c r="A14" s="8" t="n">
        <v>9</v>
      </c>
      <c r="B14" s="9" t="s">
        <v>23</v>
      </c>
      <c r="C14" s="10" t="s">
        <v>35</v>
      </c>
      <c r="D14" s="9" t="s">
        <v>15</v>
      </c>
      <c r="E14" s="11" t="n">
        <v>150</v>
      </c>
    </row>
    <row r="15" customFormat="false" ht="15" hidden="false" customHeight="false" outlineLevel="0" collapsed="false">
      <c r="A15" s="35"/>
      <c r="B15" s="35"/>
      <c r="C15" s="35"/>
      <c r="D15" s="35" t="s">
        <v>103</v>
      </c>
      <c r="E15" s="36" t="n">
        <f aca="false">SUM(E6:E14)</f>
        <v>4965</v>
      </c>
    </row>
    <row r="16" customFormat="false" ht="19.5" hidden="false" customHeight="true" outlineLevel="0" collapsed="false">
      <c r="A16" s="13" t="s">
        <v>108</v>
      </c>
      <c r="B16" s="13"/>
      <c r="C16" s="13"/>
      <c r="D16" s="13"/>
      <c r="E16" s="13"/>
    </row>
    <row r="17" customFormat="false" ht="15" hidden="false" customHeight="false" outlineLevel="0" collapsed="false">
      <c r="A17" s="8" t="n">
        <v>10</v>
      </c>
      <c r="B17" s="9" t="s">
        <v>16</v>
      </c>
      <c r="C17" s="10" t="s">
        <v>37</v>
      </c>
      <c r="D17" s="9" t="s">
        <v>40</v>
      </c>
      <c r="E17" s="11" t="n">
        <v>1300</v>
      </c>
    </row>
    <row r="18" customFormat="false" ht="15" hidden="false" customHeight="false" outlineLevel="0" collapsed="false">
      <c r="A18" s="8" t="n">
        <v>11</v>
      </c>
      <c r="B18" s="9" t="s">
        <v>41</v>
      </c>
      <c r="C18" s="10" t="s">
        <v>42</v>
      </c>
      <c r="D18" s="9" t="s">
        <v>43</v>
      </c>
      <c r="E18" s="11" t="n">
        <v>1360</v>
      </c>
    </row>
    <row r="19" customFormat="false" ht="15" hidden="false" customHeight="false" outlineLevel="0" collapsed="false">
      <c r="A19" s="8" t="n">
        <v>12</v>
      </c>
      <c r="B19" s="9" t="s">
        <v>44</v>
      </c>
      <c r="C19" s="10" t="s">
        <v>45</v>
      </c>
      <c r="D19" s="9" t="s">
        <v>43</v>
      </c>
      <c r="E19" s="11" t="n">
        <v>920</v>
      </c>
    </row>
    <row r="20" customFormat="false" ht="15" hidden="false" customHeight="false" outlineLevel="0" collapsed="false">
      <c r="A20" s="8" t="n">
        <v>13</v>
      </c>
      <c r="B20" s="9" t="s">
        <v>21</v>
      </c>
      <c r="C20" s="10" t="s">
        <v>46</v>
      </c>
      <c r="D20" s="9" t="s">
        <v>43</v>
      </c>
      <c r="E20" s="11" t="n">
        <v>620</v>
      </c>
    </row>
    <row r="21" customFormat="false" ht="15" hidden="false" customHeight="false" outlineLevel="0" collapsed="false">
      <c r="A21" s="8" t="n">
        <v>14</v>
      </c>
      <c r="B21" s="9" t="s">
        <v>47</v>
      </c>
      <c r="C21" s="10" t="s">
        <v>48</v>
      </c>
      <c r="D21" s="9" t="s">
        <v>43</v>
      </c>
      <c r="E21" s="11" t="n">
        <v>500</v>
      </c>
    </row>
    <row r="22" customFormat="false" ht="15" hidden="false" customHeight="false" outlineLevel="0" collapsed="false">
      <c r="A22" s="8" t="n">
        <v>15</v>
      </c>
      <c r="B22" s="9" t="s">
        <v>29</v>
      </c>
      <c r="C22" s="10" t="s">
        <v>49</v>
      </c>
      <c r="D22" s="9" t="s">
        <v>43</v>
      </c>
      <c r="E22" s="11" t="n">
        <v>351</v>
      </c>
    </row>
    <row r="23" customFormat="false" ht="15" hidden="false" customHeight="false" outlineLevel="0" collapsed="false">
      <c r="A23" s="8" t="n">
        <v>16</v>
      </c>
      <c r="B23" s="9" t="s">
        <v>50</v>
      </c>
      <c r="C23" s="10" t="s">
        <v>51</v>
      </c>
      <c r="D23" s="9" t="s">
        <v>43</v>
      </c>
      <c r="E23" s="11" t="n">
        <v>350</v>
      </c>
    </row>
    <row r="24" customFormat="false" ht="15" hidden="false" customHeight="false" outlineLevel="0" collapsed="false">
      <c r="A24" s="8" t="n">
        <v>17</v>
      </c>
      <c r="B24" s="9" t="s">
        <v>31</v>
      </c>
      <c r="C24" s="10" t="s">
        <v>52</v>
      </c>
      <c r="D24" s="9" t="s">
        <v>15</v>
      </c>
      <c r="E24" s="11" t="n">
        <v>600</v>
      </c>
    </row>
    <row r="25" customFormat="false" ht="15" hidden="false" customHeight="false" outlineLevel="0" collapsed="false">
      <c r="A25" s="8" t="n">
        <v>18</v>
      </c>
      <c r="B25" s="9" t="s">
        <v>53</v>
      </c>
      <c r="C25" s="10" t="s">
        <v>54</v>
      </c>
      <c r="D25" s="9" t="s">
        <v>56</v>
      </c>
      <c r="E25" s="11" t="n">
        <v>708</v>
      </c>
    </row>
    <row r="26" customFormat="false" ht="15" hidden="false" customHeight="false" outlineLevel="0" collapsed="false">
      <c r="A26" s="43"/>
      <c r="B26" s="43"/>
      <c r="C26" s="43"/>
      <c r="D26" s="43" t="s">
        <v>109</v>
      </c>
      <c r="E26" s="44" t="n">
        <f aca="false">SUM(E17:E25)</f>
        <v>6709</v>
      </c>
    </row>
    <row r="27" customFormat="false" ht="19.5" hidden="false" customHeight="true" outlineLevel="0" collapsed="false">
      <c r="A27" s="14" t="s">
        <v>110</v>
      </c>
      <c r="B27" s="14"/>
      <c r="C27" s="14"/>
      <c r="D27" s="14"/>
      <c r="E27" s="14"/>
    </row>
    <row r="28" customFormat="false" ht="15" hidden="false" customHeight="false" outlineLevel="0" collapsed="false">
      <c r="A28" s="8" t="n">
        <v>19</v>
      </c>
      <c r="B28" s="9" t="s">
        <v>58</v>
      </c>
      <c r="C28" s="10" t="s">
        <v>59</v>
      </c>
      <c r="D28" s="9" t="s">
        <v>60</v>
      </c>
      <c r="E28" s="11" t="n">
        <v>800</v>
      </c>
    </row>
    <row r="29" customFormat="false" ht="15" hidden="false" customHeight="false" outlineLevel="0" collapsed="false">
      <c r="A29" s="8" t="n">
        <v>20</v>
      </c>
      <c r="B29" s="9" t="s">
        <v>61</v>
      </c>
      <c r="C29" s="10" t="s">
        <v>62</v>
      </c>
      <c r="D29" s="9" t="s">
        <v>60</v>
      </c>
      <c r="E29" s="11" t="n">
        <v>750</v>
      </c>
    </row>
    <row r="30" customFormat="false" ht="15" hidden="false" customHeight="false" outlineLevel="0" collapsed="false">
      <c r="A30" s="8" t="n">
        <v>21</v>
      </c>
      <c r="B30" s="9" t="s">
        <v>63</v>
      </c>
      <c r="C30" s="10" t="s">
        <v>64</v>
      </c>
      <c r="D30" s="9" t="s">
        <v>60</v>
      </c>
      <c r="E30" s="11" t="n">
        <v>1368</v>
      </c>
    </row>
    <row r="31" customFormat="false" ht="15" hidden="false" customHeight="false" outlineLevel="0" collapsed="false">
      <c r="A31" s="8" t="n">
        <v>22</v>
      </c>
      <c r="B31" s="9" t="s">
        <v>16</v>
      </c>
      <c r="C31" s="10" t="s">
        <v>65</v>
      </c>
      <c r="D31" s="9" t="s">
        <v>60</v>
      </c>
      <c r="E31" s="11" t="n">
        <v>400</v>
      </c>
    </row>
    <row r="32" customFormat="false" ht="15" hidden="false" customHeight="false" outlineLevel="0" collapsed="false">
      <c r="A32" s="8" t="n">
        <v>23</v>
      </c>
      <c r="B32" s="9" t="s">
        <v>66</v>
      </c>
      <c r="C32" s="10" t="s">
        <v>67</v>
      </c>
      <c r="D32" s="9" t="s">
        <v>60</v>
      </c>
      <c r="E32" s="11" t="n">
        <v>890</v>
      </c>
    </row>
    <row r="33" customFormat="false" ht="15" hidden="false" customHeight="false" outlineLevel="0" collapsed="false">
      <c r="A33" s="8" t="n">
        <v>24</v>
      </c>
      <c r="B33" s="9" t="s">
        <v>68</v>
      </c>
      <c r="C33" s="10" t="s">
        <v>69</v>
      </c>
      <c r="D33" s="9" t="s">
        <v>60</v>
      </c>
      <c r="E33" s="11" t="n">
        <v>150</v>
      </c>
    </row>
    <row r="34" customFormat="false" ht="15" hidden="false" customHeight="false" outlineLevel="0" collapsed="false">
      <c r="A34" s="47"/>
      <c r="B34" s="47"/>
      <c r="C34" s="47"/>
      <c r="D34" s="47" t="s">
        <v>111</v>
      </c>
      <c r="E34" s="48" t="n">
        <f aca="false">SUM(E28:E33)</f>
        <v>4358</v>
      </c>
    </row>
    <row r="36" customFormat="false" ht="19.5" hidden="false" customHeight="true" outlineLevel="0" collapsed="false">
      <c r="A36" s="37"/>
      <c r="B36" s="37"/>
      <c r="C36" s="37"/>
      <c r="D36" s="37" t="s">
        <v>97</v>
      </c>
      <c r="E36" s="38" t="n">
        <f aca="false">'Package Comparison'!J36</f>
        <v>16032</v>
      </c>
    </row>
    <row r="37" customFormat="false" ht="25.5" hidden="false" customHeight="true" outlineLevel="0" collapsed="false">
      <c r="A37" s="49"/>
      <c r="B37" s="49"/>
      <c r="C37" s="49"/>
      <c r="D37" s="49" t="s">
        <v>77</v>
      </c>
      <c r="E37" s="50" t="n">
        <f aca="false">'Package Comparison'!J40</f>
        <v>8400</v>
      </c>
    </row>
    <row r="38" customFormat="false" ht="19.5" hidden="false" customHeight="true" outlineLevel="0" collapsed="false">
      <c r="A38" s="41"/>
      <c r="B38" s="41"/>
      <c r="C38" s="41" t="str">
        <f aca="false">"("&amp;TEXT('Package Comparison'!J42,"0%")&amp;" off the without-package price)"</f>
        <v>(48% off the without-package price)</v>
      </c>
      <c r="D38" s="41" t="s">
        <v>98</v>
      </c>
      <c r="E38" s="29" t="n">
        <f aca="false">'Package Comparison'!J41</f>
        <v>7632</v>
      </c>
    </row>
    <row r="39" customFormat="false" ht="15" hidden="false" customHeight="false" outlineLevel="0" collapsed="false">
      <c r="A39" s="42"/>
      <c r="B39" s="42"/>
      <c r="C39" s="42"/>
      <c r="D39" s="42" t="s">
        <v>68</v>
      </c>
      <c r="E39" s="42" t="s">
        <v>73</v>
      </c>
    </row>
    <row r="40" customFormat="false" ht="15" hidden="false" customHeight="false" outlineLevel="0" collapsed="false">
      <c r="A40" s="42"/>
      <c r="B40" s="42"/>
      <c r="C40" s="42"/>
      <c r="D40" s="42" t="s">
        <v>99</v>
      </c>
      <c r="E40" s="42" t="s">
        <v>15</v>
      </c>
    </row>
  </sheetData>
  <mergeCells count="5">
    <mergeCell ref="A1:E1"/>
    <mergeCell ref="A2:E2"/>
    <mergeCell ref="A5:E5"/>
    <mergeCell ref="A16:E16"/>
    <mergeCell ref="A27:E27"/>
  </mergeCells>
  <printOptions headings="false" gridLines="false" gridLinesSet="true" horizontalCentered="tru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78"/>
  </cols>
  <sheetData>
    <row r="1" customFormat="false" ht="27.75" hidden="false" customHeight="true" outlineLevel="0" collapsed="false">
      <c r="A1" s="1" t="s">
        <v>112</v>
      </c>
      <c r="B1" s="1"/>
      <c r="C1" s="1"/>
      <c r="D1" s="1"/>
    </row>
    <row r="2" customFormat="false" ht="18" hidden="false" customHeight="true" outlineLevel="0" collapsed="false">
      <c r="A2" s="2" t="s">
        <v>113</v>
      </c>
      <c r="B2" s="2"/>
      <c r="C2" s="2"/>
      <c r="D2" s="2"/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114</v>
      </c>
      <c r="D4" s="3" t="s">
        <v>115</v>
      </c>
    </row>
    <row r="5" customFormat="false" ht="23.85" hidden="false" customHeight="false" outlineLevel="0" collapsed="false">
      <c r="A5" s="51" t="s">
        <v>13</v>
      </c>
      <c r="B5" s="52" t="s">
        <v>14</v>
      </c>
      <c r="C5" s="53" t="n">
        <v>900</v>
      </c>
      <c r="D5" s="51" t="s">
        <v>116</v>
      </c>
    </row>
    <row r="6" customFormat="false" ht="35.05" hidden="false" customHeight="false" outlineLevel="0" collapsed="false">
      <c r="A6" s="51" t="s">
        <v>16</v>
      </c>
      <c r="B6" s="52" t="s">
        <v>17</v>
      </c>
      <c r="C6" s="53" t="n">
        <v>360</v>
      </c>
      <c r="D6" s="51" t="s">
        <v>117</v>
      </c>
    </row>
    <row r="7" customFormat="false" ht="23.85" hidden="false" customHeight="false" outlineLevel="0" collapsed="false">
      <c r="A7" s="51" t="s">
        <v>16</v>
      </c>
      <c r="B7" s="52" t="s">
        <v>37</v>
      </c>
      <c r="C7" s="53" t="n">
        <v>650</v>
      </c>
      <c r="D7" s="51" t="s">
        <v>118</v>
      </c>
    </row>
    <row r="8" customFormat="false" ht="23.85" hidden="false" customHeight="false" outlineLevel="0" collapsed="false">
      <c r="A8" s="51" t="s">
        <v>19</v>
      </c>
      <c r="B8" s="52" t="s">
        <v>20</v>
      </c>
      <c r="C8" s="53" t="n">
        <v>255</v>
      </c>
      <c r="D8" s="51" t="s">
        <v>119</v>
      </c>
    </row>
    <row r="9" customFormat="false" ht="23.85" hidden="false" customHeight="false" outlineLevel="0" collapsed="false">
      <c r="A9" s="51" t="s">
        <v>21</v>
      </c>
      <c r="B9" s="52" t="s">
        <v>22</v>
      </c>
      <c r="C9" s="53" t="n">
        <v>450</v>
      </c>
      <c r="D9" s="51" t="s">
        <v>120</v>
      </c>
    </row>
    <row r="10" customFormat="false" ht="23.85" hidden="false" customHeight="false" outlineLevel="0" collapsed="false">
      <c r="A10" s="51" t="s">
        <v>23</v>
      </c>
      <c r="B10" s="52" t="s">
        <v>24</v>
      </c>
      <c r="C10" s="53" t="n">
        <v>1200</v>
      </c>
      <c r="D10" s="51" t="s">
        <v>121</v>
      </c>
    </row>
    <row r="11" customFormat="false" ht="15" hidden="false" customHeight="false" outlineLevel="0" collapsed="false">
      <c r="A11" s="51" t="s">
        <v>25</v>
      </c>
      <c r="B11" s="52" t="s">
        <v>26</v>
      </c>
      <c r="C11" s="53" t="n">
        <v>105</v>
      </c>
      <c r="D11" s="51" t="s">
        <v>122</v>
      </c>
    </row>
    <row r="12" customFormat="false" ht="15" hidden="false" customHeight="false" outlineLevel="0" collapsed="false">
      <c r="A12" s="51" t="s">
        <v>29</v>
      </c>
      <c r="B12" s="52" t="s">
        <v>30</v>
      </c>
      <c r="C12" s="53" t="n">
        <v>45</v>
      </c>
      <c r="D12" s="51" t="s">
        <v>123</v>
      </c>
    </row>
    <row r="13" customFormat="false" ht="15" hidden="false" customHeight="false" outlineLevel="0" collapsed="false">
      <c r="A13" s="51" t="s">
        <v>31</v>
      </c>
      <c r="B13" s="52" t="s">
        <v>32</v>
      </c>
      <c r="C13" s="53" t="n">
        <v>1000</v>
      </c>
      <c r="D13" s="51" t="s">
        <v>124</v>
      </c>
    </row>
    <row r="14" customFormat="false" ht="15" hidden="false" customHeight="false" outlineLevel="0" collapsed="false">
      <c r="A14" s="51" t="s">
        <v>33</v>
      </c>
      <c r="B14" s="52" t="s">
        <v>34</v>
      </c>
      <c r="C14" s="53" t="n">
        <v>860</v>
      </c>
      <c r="D14" s="51" t="s">
        <v>125</v>
      </c>
    </row>
    <row r="15" customFormat="false" ht="15" hidden="false" customHeight="false" outlineLevel="0" collapsed="false">
      <c r="A15" s="51" t="s">
        <v>41</v>
      </c>
      <c r="B15" s="52" t="s">
        <v>42</v>
      </c>
      <c r="C15" s="53" t="n">
        <v>1360</v>
      </c>
      <c r="D15" s="51" t="s">
        <v>126</v>
      </c>
    </row>
    <row r="16" customFormat="false" ht="15" hidden="false" customHeight="false" outlineLevel="0" collapsed="false">
      <c r="A16" s="51" t="s">
        <v>44</v>
      </c>
      <c r="B16" s="52" t="s">
        <v>45</v>
      </c>
      <c r="C16" s="53" t="n">
        <v>920</v>
      </c>
      <c r="D16" s="51" t="s">
        <v>127</v>
      </c>
    </row>
    <row r="17" customFormat="false" ht="15" hidden="false" customHeight="false" outlineLevel="0" collapsed="false">
      <c r="A17" s="51" t="s">
        <v>21</v>
      </c>
      <c r="B17" s="52" t="s">
        <v>46</v>
      </c>
      <c r="C17" s="53" t="n">
        <v>620</v>
      </c>
      <c r="D17" s="51" t="s">
        <v>128</v>
      </c>
    </row>
    <row r="18" customFormat="false" ht="15" hidden="false" customHeight="false" outlineLevel="0" collapsed="false">
      <c r="A18" s="51" t="s">
        <v>23</v>
      </c>
      <c r="B18" s="52" t="s">
        <v>35</v>
      </c>
      <c r="C18" s="53" t="n">
        <v>150</v>
      </c>
      <c r="D18" s="51" t="s">
        <v>129</v>
      </c>
    </row>
    <row r="19" customFormat="false" ht="23.85" hidden="false" customHeight="false" outlineLevel="0" collapsed="false">
      <c r="A19" s="51" t="s">
        <v>47</v>
      </c>
      <c r="B19" s="52" t="s">
        <v>48</v>
      </c>
      <c r="C19" s="53" t="n">
        <v>500</v>
      </c>
      <c r="D19" s="51" t="s">
        <v>130</v>
      </c>
    </row>
    <row r="20" customFormat="false" ht="15" hidden="false" customHeight="false" outlineLevel="0" collapsed="false">
      <c r="A20" s="51" t="s">
        <v>29</v>
      </c>
      <c r="B20" s="52" t="s">
        <v>49</v>
      </c>
      <c r="C20" s="53" t="n">
        <v>351</v>
      </c>
      <c r="D20" s="51" t="s">
        <v>131</v>
      </c>
    </row>
    <row r="21" customFormat="false" ht="15" hidden="false" customHeight="false" outlineLevel="0" collapsed="false">
      <c r="A21" s="51" t="s">
        <v>50</v>
      </c>
      <c r="B21" s="52" t="s">
        <v>51</v>
      </c>
      <c r="C21" s="53" t="n">
        <v>350</v>
      </c>
      <c r="D21" s="51" t="s">
        <v>132</v>
      </c>
    </row>
    <row r="22" customFormat="false" ht="15" hidden="false" customHeight="false" outlineLevel="0" collapsed="false">
      <c r="A22" s="51" t="s">
        <v>31</v>
      </c>
      <c r="B22" s="52" t="s">
        <v>52</v>
      </c>
      <c r="C22" s="53" t="n">
        <v>600</v>
      </c>
      <c r="D22" s="51" t="s">
        <v>133</v>
      </c>
    </row>
    <row r="23" customFormat="false" ht="15" hidden="false" customHeight="false" outlineLevel="0" collapsed="false">
      <c r="A23" s="51" t="s">
        <v>53</v>
      </c>
      <c r="B23" s="52" t="s">
        <v>54</v>
      </c>
      <c r="C23" s="53" t="n">
        <v>236</v>
      </c>
      <c r="D23" s="51" t="s">
        <v>134</v>
      </c>
    </row>
    <row r="24" customFormat="false" ht="23.85" hidden="false" customHeight="false" outlineLevel="0" collapsed="false">
      <c r="A24" s="51" t="s">
        <v>58</v>
      </c>
      <c r="B24" s="52" t="s">
        <v>59</v>
      </c>
      <c r="C24" s="53" t="n">
        <v>800</v>
      </c>
      <c r="D24" s="51" t="s">
        <v>135</v>
      </c>
    </row>
    <row r="25" customFormat="false" ht="15" hidden="false" customHeight="false" outlineLevel="0" collapsed="false">
      <c r="A25" s="51" t="s">
        <v>61</v>
      </c>
      <c r="B25" s="52" t="s">
        <v>62</v>
      </c>
      <c r="C25" s="53" t="n">
        <v>750</v>
      </c>
      <c r="D25" s="51" t="s">
        <v>136</v>
      </c>
    </row>
    <row r="26" customFormat="false" ht="15" hidden="false" customHeight="false" outlineLevel="0" collapsed="false">
      <c r="A26" s="51" t="s">
        <v>63</v>
      </c>
      <c r="B26" s="52" t="s">
        <v>64</v>
      </c>
      <c r="C26" s="53" t="n">
        <v>1368</v>
      </c>
      <c r="D26" s="51" t="s">
        <v>137</v>
      </c>
    </row>
    <row r="27" customFormat="false" ht="15" hidden="false" customHeight="false" outlineLevel="0" collapsed="false">
      <c r="A27" s="51" t="s">
        <v>16</v>
      </c>
      <c r="B27" s="52" t="s">
        <v>65</v>
      </c>
      <c r="C27" s="53" t="n">
        <v>400</v>
      </c>
      <c r="D27" s="51" t="s">
        <v>138</v>
      </c>
    </row>
    <row r="28" customFormat="false" ht="15" hidden="false" customHeight="false" outlineLevel="0" collapsed="false">
      <c r="A28" s="51" t="s">
        <v>66</v>
      </c>
      <c r="B28" s="52" t="s">
        <v>67</v>
      </c>
      <c r="C28" s="53" t="n">
        <v>890</v>
      </c>
      <c r="D28" s="51" t="s">
        <v>139</v>
      </c>
    </row>
    <row r="29" customFormat="false" ht="15" hidden="false" customHeight="false" outlineLevel="0" collapsed="false">
      <c r="A29" s="51" t="s">
        <v>68</v>
      </c>
      <c r="B29" s="52" t="s">
        <v>69</v>
      </c>
      <c r="C29" s="53" t="n">
        <v>150</v>
      </c>
      <c r="D29" s="51" t="s">
        <v>140</v>
      </c>
    </row>
  </sheetData>
  <mergeCells count="2">
    <mergeCell ref="A1:D1"/>
    <mergeCell ref="A2:D2"/>
  </mergeCells>
  <printOptions headings="false" gridLines="false" gridLinesSet="true" horizontalCentered="true" verticalCentered="false"/>
  <pageMargins left="0.35" right="0.35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2026-08-14T20:44:47Z</dcterms:created>
  <dc:creator>openpyxl</dc:creator>
  <dc:description/>
  <dc:language>en-US</dc:language>
  <cp:lastModifiedBy/>
  <dcterms:modified xsi:type="dcterms:W3CDTF">2026-08-14T20:44:47Z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